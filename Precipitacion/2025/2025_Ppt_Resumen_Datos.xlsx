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obby\Documents\GitHub\Clima_Agua_Panama\Precipitacion\2025\"/>
    </mc:Choice>
  </mc:AlternateContent>
  <xr:revisionPtr revIDLastSave="0" documentId="13_ncr:1_{04D0EE6F-3B82-46AB-9497-1223B4A23B1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2025" sheetId="2" r:id="rId1"/>
    <sheet name="Normal_Climatica" sheetId="1" r:id="rId2"/>
    <sheet name="Pentadas_Pais" sheetId="3" r:id="rId3"/>
    <sheet name="Anomal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J15" i="1"/>
  <c r="I15" i="2"/>
  <c r="J15" i="2"/>
  <c r="H15" i="1"/>
  <c r="N15" i="1" s="1"/>
  <c r="H15" i="2"/>
  <c r="N14" i="1"/>
  <c r="C15" i="1"/>
  <c r="D15" i="1"/>
  <c r="E15" i="1"/>
  <c r="F15" i="1"/>
  <c r="G15" i="1"/>
  <c r="B15" i="1"/>
  <c r="G15" i="2"/>
  <c r="N3" i="1"/>
  <c r="N4" i="1"/>
  <c r="N5" i="1"/>
  <c r="N6" i="1"/>
  <c r="N7" i="1"/>
  <c r="N8" i="1"/>
  <c r="N9" i="1"/>
  <c r="N10" i="1"/>
  <c r="N11" i="1"/>
  <c r="N12" i="1"/>
  <c r="N13" i="1"/>
  <c r="N2" i="1"/>
  <c r="C15" i="2"/>
  <c r="D15" i="2"/>
  <c r="E15" i="2"/>
  <c r="F15" i="2"/>
  <c r="B15" i="2"/>
  <c r="N3" i="2"/>
  <c r="N4" i="2"/>
  <c r="N5" i="2"/>
  <c r="N6" i="2"/>
  <c r="N7" i="2"/>
  <c r="N8" i="2"/>
  <c r="N9" i="2"/>
  <c r="N10" i="2"/>
  <c r="N11" i="2"/>
  <c r="N12" i="2"/>
  <c r="N13" i="2"/>
  <c r="N14" i="2"/>
  <c r="N2" i="2"/>
  <c r="N15" i="2" l="1"/>
</calcChain>
</file>

<file path=xl/sharedStrings.xml><?xml version="1.0" encoding="utf-8"?>
<sst xmlns="http://schemas.openxmlformats.org/spreadsheetml/2006/main" count="472" uniqueCount="36">
  <si>
    <t>Jan</t>
  </si>
  <si>
    <t>Feb</t>
  </si>
  <si>
    <t>Mar</t>
  </si>
  <si>
    <t>Apr</t>
  </si>
  <si>
    <t>Total</t>
  </si>
  <si>
    <t>BT</t>
  </si>
  <si>
    <t>CC</t>
  </si>
  <si>
    <t>C-EW</t>
  </si>
  <si>
    <t>C-GY</t>
  </si>
  <si>
    <t>CH</t>
  </si>
  <si>
    <t>CL</t>
  </si>
  <si>
    <t>C-NB</t>
  </si>
  <si>
    <t>DR</t>
  </si>
  <si>
    <t>HR</t>
  </si>
  <si>
    <t>LS</t>
  </si>
  <si>
    <t>PA</t>
  </si>
  <si>
    <t>PO</t>
  </si>
  <si>
    <t>VR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</si>
  <si>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</si>
  <si>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</si>
  <si>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</si>
  <si>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</si>
  <si>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</si>
  <si>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</si>
  <si>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</si>
  <si>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</si>
  <si>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</si>
  <si>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Promedio</t>
  </si>
  <si>
    <t>Pen</t>
  </si>
  <si>
    <t>Day</t>
  </si>
  <si>
    <t>Month</t>
  </si>
  <si>
    <t>Year</t>
  </si>
  <si>
    <t>Datetime</t>
  </si>
  <si>
    <t>Cumu_Pen</t>
  </si>
  <si>
    <t>Diff_meanVsNC</t>
  </si>
  <si>
    <t>Raster_ave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</si>
</sst>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16" fontId="1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065C-BA00-4360-894E-DBC69C8D51A1}">
  <dimension ref="A1:N15"/>
  <sheetViews>
    <sheetView workbookViewId="0">
      <selection activeCell="M5" sqref="M5"/>
    </sheetView>
  </sheetViews>
  <sheetFormatPr baseColWidth="10" defaultColWidth="9.140625" defaultRowHeight="15" x14ac:dyDescent="0.25"/>
  <cols>
    <col min="1" max="1" width="11" bestFit="1" customWidth="1"/>
    <col min="14" max="14" width="10.28515625" bestFit="1" customWidth="1"/>
  </cols>
  <sheetData>
    <row r="1" spans="1:14" ht="18.75" x14ac:dyDescent="0.25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4</v>
      </c>
    </row>
    <row r="2" spans="1:14" ht="18.75" x14ac:dyDescent="0.3">
      <c r="A2" s="3" t="s">
        <v>5</v>
      </c>
      <c r="B2" s="4">
        <v>188.50671</v>
      </c>
      <c r="C2" s="4">
        <v>283.18340000000001</v>
      </c>
      <c r="D2" s="4">
        <v>218.30538999999999</v>
      </c>
      <c r="E2" s="4">
        <v>254.7963</v>
      </c>
      <c r="F2" s="4">
        <v>340.91782000000001</v>
      </c>
      <c r="G2" s="4">
        <v>383.32702999999998</v>
      </c>
      <c r="H2" s="4">
        <v>284.40334999999999</v>
      </c>
      <c r="I2" s="4">
        <v>243.4537</v>
      </c>
      <c r="J2" s="4">
        <v>236.7088</v>
      </c>
      <c r="K2" s="4"/>
      <c r="L2" s="4"/>
      <c r="M2" s="4"/>
      <c r="N2" s="4">
        <f>SUM(B2:M2)</f>
        <v>2433.6025</v>
      </c>
    </row>
    <row r="3" spans="1:14" ht="18.75" x14ac:dyDescent="0.3">
      <c r="A3" s="3" t="s">
        <v>6</v>
      </c>
      <c r="B3" s="4">
        <v>78.129419999999996</v>
      </c>
      <c r="C3" s="4">
        <v>68.062934999999996</v>
      </c>
      <c r="D3" s="4">
        <v>29.717055999999999</v>
      </c>
      <c r="E3" s="4">
        <v>83.155519999999996</v>
      </c>
      <c r="F3" s="4">
        <v>314.53122000000002</v>
      </c>
      <c r="G3" s="4">
        <v>245.99565000000001</v>
      </c>
      <c r="H3" s="4">
        <v>200.17044000000001</v>
      </c>
      <c r="I3" s="4">
        <v>187.75885</v>
      </c>
      <c r="J3" s="4">
        <v>292.02276999999998</v>
      </c>
      <c r="K3" s="4"/>
      <c r="L3" s="4"/>
      <c r="M3" s="4"/>
      <c r="N3" s="4">
        <f t="shared" ref="N3:N14" si="0">SUM(B3:M3)</f>
        <v>1499.5438610000001</v>
      </c>
    </row>
    <row r="4" spans="1:14" ht="18.75" x14ac:dyDescent="0.3">
      <c r="A4" s="3" t="s">
        <v>7</v>
      </c>
      <c r="B4" s="4">
        <v>96.856930000000006</v>
      </c>
      <c r="C4" s="4">
        <v>223.59576000000001</v>
      </c>
      <c r="D4" s="4">
        <v>198.60482999999999</v>
      </c>
      <c r="E4" s="4">
        <v>253.34648000000001</v>
      </c>
      <c r="F4" s="4">
        <v>297.17520000000002</v>
      </c>
      <c r="G4" s="4">
        <v>355.76096000000001</v>
      </c>
      <c r="H4" s="4">
        <v>252.24438000000001</v>
      </c>
      <c r="I4" s="4">
        <v>240.20253</v>
      </c>
      <c r="J4" s="4">
        <v>208.57945000000001</v>
      </c>
      <c r="K4" s="4"/>
      <c r="L4" s="4"/>
      <c r="M4" s="4"/>
      <c r="N4" s="4">
        <f t="shared" si="0"/>
        <v>2126.3665200000005</v>
      </c>
    </row>
    <row r="5" spans="1:14" ht="18.75" x14ac:dyDescent="0.3">
      <c r="A5" s="3" t="s">
        <v>8</v>
      </c>
      <c r="B5" s="4">
        <v>205.07903999999999</v>
      </c>
      <c r="C5" s="4">
        <v>137.18943999999999</v>
      </c>
      <c r="D5" s="4">
        <v>100.05275</v>
      </c>
      <c r="E5" s="4">
        <v>428.41574000000003</v>
      </c>
      <c r="F5" s="4">
        <v>271.42219999999998</v>
      </c>
      <c r="G5" s="4">
        <v>324.73145</v>
      </c>
      <c r="H5" s="4">
        <v>194.70464999999999</v>
      </c>
      <c r="I5" s="4">
        <v>316.97638000000001</v>
      </c>
      <c r="J5" s="4">
        <v>224.00785999999999</v>
      </c>
      <c r="K5" s="4"/>
      <c r="L5" s="4"/>
      <c r="M5" s="4"/>
      <c r="N5" s="4">
        <f t="shared" si="0"/>
        <v>2202.57951</v>
      </c>
    </row>
    <row r="6" spans="1:14" ht="18.75" x14ac:dyDescent="0.3">
      <c r="A6" s="3" t="s">
        <v>9</v>
      </c>
      <c r="B6" s="4">
        <v>80.088089999999994</v>
      </c>
      <c r="C6" s="4">
        <v>129.56744</v>
      </c>
      <c r="D6" s="4">
        <v>80.762799999999999</v>
      </c>
      <c r="E6" s="4">
        <v>160.95910000000001</v>
      </c>
      <c r="F6" s="4">
        <v>570.01580000000001</v>
      </c>
      <c r="G6" s="4">
        <v>465.92676</v>
      </c>
      <c r="H6" s="4">
        <v>327.45929999999998</v>
      </c>
      <c r="I6" s="4">
        <v>397.61959999999999</v>
      </c>
      <c r="J6" s="4">
        <v>469.45013</v>
      </c>
      <c r="K6" s="4"/>
      <c r="L6" s="4"/>
      <c r="M6" s="4"/>
      <c r="N6" s="4">
        <f t="shared" si="0"/>
        <v>2681.8490200000001</v>
      </c>
    </row>
    <row r="7" spans="1:14" ht="18.75" x14ac:dyDescent="0.3">
      <c r="A7" s="3" t="s">
        <v>10</v>
      </c>
      <c r="B7" s="4">
        <v>198.03593000000001</v>
      </c>
      <c r="C7" s="4">
        <v>116.03561000000001</v>
      </c>
      <c r="D7" s="4">
        <v>77.946910000000003</v>
      </c>
      <c r="E7" s="4">
        <v>237.56934999999999</v>
      </c>
      <c r="F7" s="4">
        <v>406.89202999999998</v>
      </c>
      <c r="G7" s="4">
        <v>329.61144999999999</v>
      </c>
      <c r="H7" s="4">
        <v>315.71895999999998</v>
      </c>
      <c r="I7" s="4">
        <v>332.46071999999998</v>
      </c>
      <c r="J7" s="4">
        <v>268.71422999999999</v>
      </c>
      <c r="K7" s="4"/>
      <c r="L7" s="4"/>
      <c r="M7" s="4"/>
      <c r="N7" s="4">
        <f t="shared" si="0"/>
        <v>2282.9851899999999</v>
      </c>
    </row>
    <row r="8" spans="1:14" ht="18.75" x14ac:dyDescent="0.3">
      <c r="A8" s="3" t="s">
        <v>11</v>
      </c>
      <c r="B8" s="4">
        <v>251.04949999999999</v>
      </c>
      <c r="C8" s="4">
        <v>177.49184</v>
      </c>
      <c r="D8" s="4">
        <v>113.00713</v>
      </c>
      <c r="E8" s="4">
        <v>167.43610000000001</v>
      </c>
      <c r="F8" s="4">
        <v>549.37445000000002</v>
      </c>
      <c r="G8" s="4">
        <v>471.96606000000003</v>
      </c>
      <c r="H8" s="4">
        <v>428.18927000000002</v>
      </c>
      <c r="I8" s="4">
        <v>438.5804</v>
      </c>
      <c r="J8" s="4">
        <v>425.11250000000001</v>
      </c>
      <c r="K8" s="4"/>
      <c r="L8" s="4"/>
      <c r="M8" s="4"/>
      <c r="N8" s="4">
        <f t="shared" si="0"/>
        <v>3022.2072499999999</v>
      </c>
    </row>
    <row r="9" spans="1:14" ht="18.75" x14ac:dyDescent="0.3">
      <c r="A9" s="3" t="s">
        <v>12</v>
      </c>
      <c r="B9" s="4">
        <v>99.246430000000004</v>
      </c>
      <c r="C9" s="4">
        <v>244.62277</v>
      </c>
      <c r="D9" s="4">
        <v>245.38718</v>
      </c>
      <c r="E9" s="4">
        <v>225.11192</v>
      </c>
      <c r="F9" s="4">
        <v>280.16428000000002</v>
      </c>
      <c r="G9" s="4">
        <v>346.21960000000001</v>
      </c>
      <c r="H9" s="4">
        <v>263.8451</v>
      </c>
      <c r="I9" s="4">
        <v>232.34575000000001</v>
      </c>
      <c r="J9" s="4">
        <v>218.42221000000001</v>
      </c>
      <c r="K9" s="4"/>
      <c r="L9" s="4"/>
      <c r="M9" s="4"/>
      <c r="N9" s="4">
        <f t="shared" si="0"/>
        <v>2155.3652400000001</v>
      </c>
    </row>
    <row r="10" spans="1:14" ht="18.75" x14ac:dyDescent="0.3">
      <c r="A10" s="3" t="s">
        <v>13</v>
      </c>
      <c r="B10" s="4">
        <v>32.938136999999998</v>
      </c>
      <c r="C10" s="4">
        <v>98.756079999999997</v>
      </c>
      <c r="D10" s="4">
        <v>7.5198435999999997</v>
      </c>
      <c r="E10" s="4">
        <v>64.326614000000006</v>
      </c>
      <c r="F10" s="4">
        <v>298.80074999999999</v>
      </c>
      <c r="G10" s="4">
        <v>224.68445</v>
      </c>
      <c r="H10" s="4">
        <v>183.88315</v>
      </c>
      <c r="I10" s="4">
        <v>179.79578000000001</v>
      </c>
      <c r="J10" s="4">
        <v>316.54852</v>
      </c>
      <c r="K10" s="4"/>
      <c r="L10" s="4"/>
      <c r="M10" s="4"/>
      <c r="N10" s="4">
        <f t="shared" si="0"/>
        <v>1407.2533246</v>
      </c>
    </row>
    <row r="11" spans="1:14" ht="18.75" x14ac:dyDescent="0.3">
      <c r="A11" s="3" t="s">
        <v>14</v>
      </c>
      <c r="B11" s="4">
        <v>19.751656000000001</v>
      </c>
      <c r="C11" s="4">
        <v>83.302040000000005</v>
      </c>
      <c r="D11" s="4">
        <v>3.9248666999999999</v>
      </c>
      <c r="E11" s="4">
        <v>31.386292000000001</v>
      </c>
      <c r="F11" s="4">
        <v>212.33376000000001</v>
      </c>
      <c r="G11" s="4">
        <v>215.05295000000001</v>
      </c>
      <c r="H11" s="4">
        <v>155.66865999999999</v>
      </c>
      <c r="I11" s="4">
        <v>163.51232999999999</v>
      </c>
      <c r="J11" s="4">
        <v>279.64080000000001</v>
      </c>
      <c r="K11" s="4"/>
      <c r="L11" s="4"/>
      <c r="M11" s="4"/>
      <c r="N11" s="4">
        <f t="shared" si="0"/>
        <v>1164.5733547</v>
      </c>
    </row>
    <row r="12" spans="1:14" ht="18.75" x14ac:dyDescent="0.3">
      <c r="A12" s="3" t="s">
        <v>15</v>
      </c>
      <c r="B12" s="4">
        <v>132.33499</v>
      </c>
      <c r="C12" s="4">
        <v>104.80071</v>
      </c>
      <c r="D12" s="4">
        <v>73.922034999999994</v>
      </c>
      <c r="E12" s="4">
        <v>254.41039000000001</v>
      </c>
      <c r="F12" s="4">
        <v>322.11944999999997</v>
      </c>
      <c r="G12" s="4">
        <v>323.66699999999997</v>
      </c>
      <c r="H12" s="4">
        <v>179.92783</v>
      </c>
      <c r="I12" s="4">
        <v>296.00366000000002</v>
      </c>
      <c r="J12" s="4">
        <v>285.97573999999997</v>
      </c>
      <c r="K12" s="4"/>
      <c r="L12" s="4"/>
      <c r="M12" s="4"/>
      <c r="N12" s="4">
        <f t="shared" si="0"/>
        <v>1973.1618050000002</v>
      </c>
    </row>
    <row r="13" spans="1:14" ht="18.75" x14ac:dyDescent="0.3">
      <c r="A13" s="3" t="s">
        <v>16</v>
      </c>
      <c r="B13" s="4">
        <v>86.668319999999994</v>
      </c>
      <c r="C13" s="4">
        <v>61.372059999999998</v>
      </c>
      <c r="D13" s="4">
        <v>18.984417000000001</v>
      </c>
      <c r="E13" s="4">
        <v>77.485699999999994</v>
      </c>
      <c r="F13" s="4">
        <v>323.92804000000001</v>
      </c>
      <c r="G13" s="4">
        <v>246.55710999999999</v>
      </c>
      <c r="H13" s="4">
        <v>181.36001999999999</v>
      </c>
      <c r="I13" s="4">
        <v>238.34253000000001</v>
      </c>
      <c r="J13" s="4">
        <v>288.40285999999998</v>
      </c>
      <c r="K13" s="4"/>
      <c r="L13" s="4"/>
      <c r="M13" s="4"/>
      <c r="N13" s="4">
        <f t="shared" si="0"/>
        <v>1523.1010569999999</v>
      </c>
    </row>
    <row r="14" spans="1:14" ht="18.75" x14ac:dyDescent="0.3">
      <c r="A14" s="3" t="s">
        <v>17</v>
      </c>
      <c r="B14" s="4">
        <v>86.219639999999998</v>
      </c>
      <c r="C14" s="4">
        <v>116.16045</v>
      </c>
      <c r="D14" s="4">
        <v>67.929749999999999</v>
      </c>
      <c r="E14" s="4">
        <v>100.20381999999999</v>
      </c>
      <c r="F14" s="4">
        <v>458.78264999999999</v>
      </c>
      <c r="G14" s="4">
        <v>313.97109999999998</v>
      </c>
      <c r="H14" s="4">
        <v>283.88657000000001</v>
      </c>
      <c r="I14" s="4">
        <v>374.95287999999999</v>
      </c>
      <c r="J14" s="4">
        <v>433.15170000000001</v>
      </c>
      <c r="K14" s="4"/>
      <c r="L14" s="4"/>
      <c r="M14" s="4"/>
      <c r="N14" s="4">
        <f t="shared" si="0"/>
        <v>2235.2585600000002</v>
      </c>
    </row>
    <row r="15" spans="1:14" ht="18.75" x14ac:dyDescent="0.3">
      <c r="A15" s="6" t="s">
        <v>27</v>
      </c>
      <c r="B15" s="7">
        <f t="shared" ref="B15:J15" si="1">AVERAGE(B2:B14)</f>
        <v>119.60806099999999</v>
      </c>
      <c r="C15" s="7">
        <f t="shared" si="1"/>
        <v>141.85696423076922</v>
      </c>
      <c r="D15" s="7">
        <f t="shared" si="1"/>
        <v>95.081919869230759</v>
      </c>
      <c r="E15" s="7">
        <f t="shared" si="1"/>
        <v>179.89256353846156</v>
      </c>
      <c r="F15" s="7">
        <f t="shared" si="1"/>
        <v>357.41981923076924</v>
      </c>
      <c r="G15" s="7">
        <f t="shared" si="1"/>
        <v>326.72858230769236</v>
      </c>
      <c r="H15" s="7">
        <f t="shared" si="1"/>
        <v>250.11243692307696</v>
      </c>
      <c r="I15" s="7">
        <f t="shared" si="1"/>
        <v>280.15423923076918</v>
      </c>
      <c r="J15" s="7">
        <f t="shared" si="1"/>
        <v>303.59519769230769</v>
      </c>
      <c r="K15" s="7"/>
      <c r="L15" s="7"/>
      <c r="M15" s="7"/>
      <c r="N15" s="7">
        <f>SUM(B15:M15)</f>
        <v>2054.449784023077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activeCell="H15" sqref="H15:J15"/>
    </sheetView>
  </sheetViews>
  <sheetFormatPr baseColWidth="10" defaultColWidth="8.85546875" defaultRowHeight="18.75" x14ac:dyDescent="0.3"/>
  <cols>
    <col min="1" max="1" width="11.28515625" style="3" bestFit="1" customWidth="1"/>
    <col min="2" max="13" width="8.85546875" style="3"/>
    <col min="14" max="14" width="10.28515625" style="3" bestFit="1" customWidth="1"/>
    <col min="15" max="16384" width="8.85546875" style="3"/>
  </cols>
  <sheetData>
    <row r="1" spans="1:14" x14ac:dyDescent="0.3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4</v>
      </c>
    </row>
    <row r="2" spans="1:14" x14ac:dyDescent="0.3">
      <c r="A2" s="1" t="s">
        <v>5</v>
      </c>
      <c r="B2" s="4">
        <v>208.87244999999999</v>
      </c>
      <c r="C2" s="4">
        <v>142.19914</v>
      </c>
      <c r="D2" s="4">
        <v>155.74558999999999</v>
      </c>
      <c r="E2" s="4">
        <v>200.58998</v>
      </c>
      <c r="F2" s="4">
        <v>328.20578</v>
      </c>
      <c r="G2" s="4">
        <v>313.48110000000003</v>
      </c>
      <c r="H2" s="4">
        <v>322.49865999999997</v>
      </c>
      <c r="I2" s="4">
        <v>296.71570000000003</v>
      </c>
      <c r="J2" s="4">
        <v>273.32483000000002</v>
      </c>
      <c r="K2" s="4"/>
      <c r="L2" s="4"/>
      <c r="M2" s="4"/>
      <c r="N2" s="4">
        <f>SUM(B2:M2)</f>
        <v>2241.6332299999999</v>
      </c>
    </row>
    <row r="3" spans="1:14" x14ac:dyDescent="0.3">
      <c r="A3" s="1" t="s">
        <v>6</v>
      </c>
      <c r="B3" s="4">
        <v>47.244959999999999</v>
      </c>
      <c r="C3" s="4">
        <v>25.681242000000001</v>
      </c>
      <c r="D3" s="4">
        <v>20.438268999999998</v>
      </c>
      <c r="E3" s="4">
        <v>78.122870000000006</v>
      </c>
      <c r="F3" s="4">
        <v>253.31544</v>
      </c>
      <c r="G3" s="4">
        <v>277.30727999999999</v>
      </c>
      <c r="H3" s="4">
        <v>229.08197000000001</v>
      </c>
      <c r="I3" s="4">
        <v>269.72811999999999</v>
      </c>
      <c r="J3" s="4">
        <v>313.45443999999998</v>
      </c>
      <c r="K3" s="4"/>
      <c r="L3" s="4"/>
      <c r="M3" s="4"/>
      <c r="N3" s="4">
        <f t="shared" ref="N3:N13" si="0">SUM(B3:M3)</f>
        <v>1514.374591</v>
      </c>
    </row>
    <row r="4" spans="1:14" x14ac:dyDescent="0.3">
      <c r="A4" s="1" t="s">
        <v>7</v>
      </c>
      <c r="B4" s="4">
        <v>36.918430000000001</v>
      </c>
      <c r="C4" s="4">
        <v>29.169744000000001</v>
      </c>
      <c r="D4" s="4">
        <v>50.633156</v>
      </c>
      <c r="E4" s="4">
        <v>160.92265</v>
      </c>
      <c r="F4" s="4">
        <v>309.09609999999998</v>
      </c>
      <c r="G4" s="4">
        <v>297.00170000000003</v>
      </c>
      <c r="H4" s="4">
        <v>284.52753000000001</v>
      </c>
      <c r="I4" s="4">
        <v>296.21469999999999</v>
      </c>
      <c r="J4" s="4">
        <v>277.55306999999999</v>
      </c>
      <c r="K4" s="4"/>
      <c r="L4" s="4"/>
      <c r="M4" s="4"/>
      <c r="N4" s="4">
        <f t="shared" si="0"/>
        <v>1742.0370800000001</v>
      </c>
    </row>
    <row r="5" spans="1:14" x14ac:dyDescent="0.3">
      <c r="A5" s="1" t="s">
        <v>8</v>
      </c>
      <c r="B5" s="4">
        <v>59.379623000000002</v>
      </c>
      <c r="C5" s="4">
        <v>28.577594999999999</v>
      </c>
      <c r="D5" s="4">
        <v>31.519123</v>
      </c>
      <c r="E5" s="4">
        <v>145.17102</v>
      </c>
      <c r="F5" s="4">
        <v>268.12189999999998</v>
      </c>
      <c r="G5" s="4">
        <v>260.90872000000002</v>
      </c>
      <c r="H5" s="4">
        <v>251.78987000000001</v>
      </c>
      <c r="I5" s="4">
        <v>273.99392999999998</v>
      </c>
      <c r="J5" s="4">
        <v>230.79230999999999</v>
      </c>
      <c r="K5" s="4"/>
      <c r="L5" s="4"/>
      <c r="M5" s="4"/>
      <c r="N5" s="4">
        <f t="shared" si="0"/>
        <v>1550.254091</v>
      </c>
    </row>
    <row r="6" spans="1:14" x14ac:dyDescent="0.3">
      <c r="A6" s="1" t="s">
        <v>9</v>
      </c>
      <c r="B6" s="4">
        <v>62.635821999999997</v>
      </c>
      <c r="C6" s="4">
        <v>39.225709999999999</v>
      </c>
      <c r="D6" s="4">
        <v>63.185062000000002</v>
      </c>
      <c r="E6" s="4">
        <v>139.82740999999999</v>
      </c>
      <c r="F6" s="4">
        <v>424.95312000000001</v>
      </c>
      <c r="G6" s="4">
        <v>417.40674000000001</v>
      </c>
      <c r="H6" s="4">
        <v>360.66199999999998</v>
      </c>
      <c r="I6" s="4">
        <v>437.28802000000002</v>
      </c>
      <c r="J6" s="4">
        <v>517.72249999999997</v>
      </c>
      <c r="K6" s="4"/>
      <c r="L6" s="4"/>
      <c r="M6" s="4"/>
      <c r="N6" s="4">
        <f t="shared" si="0"/>
        <v>2462.9063839999999</v>
      </c>
    </row>
    <row r="7" spans="1:14" x14ac:dyDescent="0.3">
      <c r="A7" s="1" t="s">
        <v>10</v>
      </c>
      <c r="B7" s="4">
        <v>128.13749999999999</v>
      </c>
      <c r="C7" s="4">
        <v>56.191130000000001</v>
      </c>
      <c r="D7" s="4">
        <v>51.254950000000001</v>
      </c>
      <c r="E7" s="4">
        <v>154.57138</v>
      </c>
      <c r="F7" s="4">
        <v>359.99014</v>
      </c>
      <c r="G7" s="4">
        <v>349.94116000000002</v>
      </c>
      <c r="H7" s="4">
        <v>365.65584999999999</v>
      </c>
      <c r="I7" s="4">
        <v>368.97500000000002</v>
      </c>
      <c r="J7" s="4">
        <v>312.03244000000001</v>
      </c>
      <c r="K7" s="4"/>
      <c r="L7" s="4"/>
      <c r="M7" s="4"/>
      <c r="N7" s="4">
        <f t="shared" si="0"/>
        <v>2146.74955</v>
      </c>
    </row>
    <row r="8" spans="1:14" x14ac:dyDescent="0.3">
      <c r="A8" s="1" t="s">
        <v>11</v>
      </c>
      <c r="B8" s="4">
        <v>132.5899</v>
      </c>
      <c r="C8" s="4">
        <v>59.129185</v>
      </c>
      <c r="D8" s="4">
        <v>88.361350000000002</v>
      </c>
      <c r="E8" s="4">
        <v>171.57973999999999</v>
      </c>
      <c r="F8" s="4">
        <v>431.39879999999999</v>
      </c>
      <c r="G8" s="4">
        <v>427.839</v>
      </c>
      <c r="H8" s="4">
        <v>399.68682999999999</v>
      </c>
      <c r="I8" s="4">
        <v>427.21129999999999</v>
      </c>
      <c r="J8" s="4">
        <v>458.21069999999997</v>
      </c>
      <c r="K8" s="4"/>
      <c r="L8" s="4"/>
      <c r="M8" s="4"/>
      <c r="N8" s="4">
        <f t="shared" si="0"/>
        <v>2596.006805</v>
      </c>
    </row>
    <row r="9" spans="1:14" x14ac:dyDescent="0.3">
      <c r="A9" s="1" t="s">
        <v>12</v>
      </c>
      <c r="B9" s="4">
        <v>34.690112999999997</v>
      </c>
      <c r="C9" s="4">
        <v>31.483896000000001</v>
      </c>
      <c r="D9" s="4">
        <v>42.755524000000001</v>
      </c>
      <c r="E9" s="4">
        <v>143.35037</v>
      </c>
      <c r="F9" s="4">
        <v>302.62795999999997</v>
      </c>
      <c r="G9" s="4">
        <v>301.58535999999998</v>
      </c>
      <c r="H9" s="4">
        <v>291.41437000000002</v>
      </c>
      <c r="I9" s="4">
        <v>287.89109999999999</v>
      </c>
      <c r="J9" s="4">
        <v>288.94130000000001</v>
      </c>
      <c r="K9" s="4"/>
      <c r="L9" s="4"/>
      <c r="M9" s="4"/>
      <c r="N9" s="4">
        <f t="shared" si="0"/>
        <v>1724.7399929999999</v>
      </c>
    </row>
    <row r="10" spans="1:14" x14ac:dyDescent="0.3">
      <c r="A10" s="1" t="s">
        <v>13</v>
      </c>
      <c r="B10" s="4">
        <v>13.826072999999999</v>
      </c>
      <c r="C10" s="4">
        <v>33.168514000000002</v>
      </c>
      <c r="D10" s="4">
        <v>5.4241085</v>
      </c>
      <c r="E10" s="4">
        <v>47.921104</v>
      </c>
      <c r="F10" s="4">
        <v>261.05153999999999</v>
      </c>
      <c r="G10" s="4">
        <v>251.28584000000001</v>
      </c>
      <c r="H10" s="4">
        <v>204.07721000000001</v>
      </c>
      <c r="I10" s="4">
        <v>245.80893</v>
      </c>
      <c r="J10" s="4">
        <v>325.31155000000001</v>
      </c>
      <c r="K10" s="4"/>
      <c r="L10" s="4"/>
      <c r="M10" s="4"/>
      <c r="N10" s="4">
        <f t="shared" si="0"/>
        <v>1387.8748694999999</v>
      </c>
    </row>
    <row r="11" spans="1:14" x14ac:dyDescent="0.3">
      <c r="A11" s="1" t="s">
        <v>14</v>
      </c>
      <c r="B11" s="4">
        <v>8.877129</v>
      </c>
      <c r="C11" s="4">
        <v>22.717116999999998</v>
      </c>
      <c r="D11" s="4">
        <v>2.2487170000000001</v>
      </c>
      <c r="E11" s="4">
        <v>21.962689999999998</v>
      </c>
      <c r="F11" s="4">
        <v>181.69147000000001</v>
      </c>
      <c r="G11" s="4">
        <v>204.78511</v>
      </c>
      <c r="H11" s="4">
        <v>191.22635</v>
      </c>
      <c r="I11" s="4">
        <v>214.82140999999999</v>
      </c>
      <c r="J11" s="4">
        <v>248.78128000000001</v>
      </c>
      <c r="K11" s="4"/>
      <c r="L11" s="4"/>
      <c r="M11" s="4"/>
      <c r="N11" s="4">
        <f t="shared" si="0"/>
        <v>1097.111273</v>
      </c>
    </row>
    <row r="12" spans="1:14" x14ac:dyDescent="0.3">
      <c r="A12" s="1" t="s">
        <v>15</v>
      </c>
      <c r="B12" s="4">
        <v>43.130848</v>
      </c>
      <c r="C12" s="4">
        <v>21.732956000000001</v>
      </c>
      <c r="D12" s="4">
        <v>17.960571000000002</v>
      </c>
      <c r="E12" s="4">
        <v>102.305374</v>
      </c>
      <c r="F12" s="4">
        <v>286.03503000000001</v>
      </c>
      <c r="G12" s="4">
        <v>274.49588</v>
      </c>
      <c r="H12" s="4">
        <v>241.55350000000001</v>
      </c>
      <c r="I12" s="4">
        <v>276.13459999999998</v>
      </c>
      <c r="J12" s="4">
        <v>300.47494999999998</v>
      </c>
      <c r="K12" s="4"/>
      <c r="L12" s="4"/>
      <c r="M12" s="4"/>
      <c r="N12" s="4">
        <f t="shared" si="0"/>
        <v>1563.823709</v>
      </c>
    </row>
    <row r="13" spans="1:14" x14ac:dyDescent="0.3">
      <c r="A13" s="1" t="s">
        <v>16</v>
      </c>
      <c r="B13" s="4">
        <v>49.738329999999998</v>
      </c>
      <c r="C13" s="4">
        <v>19.124677999999999</v>
      </c>
      <c r="D13" s="4">
        <v>18.618200000000002</v>
      </c>
      <c r="E13" s="4">
        <v>76.743195</v>
      </c>
      <c r="F13" s="4">
        <v>275.00815</v>
      </c>
      <c r="G13" s="4">
        <v>241.35033999999999</v>
      </c>
      <c r="H13" s="4">
        <v>216.28813</v>
      </c>
      <c r="I13" s="4">
        <v>251.04628</v>
      </c>
      <c r="J13" s="4">
        <v>293.80295000000001</v>
      </c>
      <c r="K13" s="4"/>
      <c r="L13" s="4"/>
      <c r="M13" s="4"/>
      <c r="N13" s="4">
        <f t="shared" si="0"/>
        <v>1441.720253</v>
      </c>
    </row>
    <row r="14" spans="1:14" x14ac:dyDescent="0.3">
      <c r="A14" s="1" t="s">
        <v>17</v>
      </c>
      <c r="B14" s="4">
        <v>51.638576999999998</v>
      </c>
      <c r="C14" s="4">
        <v>34.386060000000001</v>
      </c>
      <c r="D14" s="4">
        <v>32.855057000000002</v>
      </c>
      <c r="E14" s="4">
        <v>105.616394</v>
      </c>
      <c r="F14" s="4">
        <v>362.72550000000001</v>
      </c>
      <c r="G14" s="4">
        <v>349.34494000000001</v>
      </c>
      <c r="H14" s="4">
        <v>329.54608000000002</v>
      </c>
      <c r="I14" s="4">
        <v>402.06801999999999</v>
      </c>
      <c r="J14" s="4">
        <v>484.0908</v>
      </c>
      <c r="K14" s="4"/>
      <c r="L14" s="4"/>
      <c r="M14" s="4"/>
      <c r="N14" s="4">
        <f>SUM(B14:M14)</f>
        <v>2152.271428</v>
      </c>
    </row>
    <row r="15" spans="1:14" x14ac:dyDescent="0.3">
      <c r="A15" s="2" t="s">
        <v>27</v>
      </c>
      <c r="B15" s="7">
        <f>AVERAGE(B2:B14)</f>
        <v>67.513827307692296</v>
      </c>
      <c r="C15" s="7">
        <f t="shared" ref="C15:J15" si="1">AVERAGE(C2:C14)</f>
        <v>41.752843615384613</v>
      </c>
      <c r="D15" s="7">
        <f t="shared" si="1"/>
        <v>44.692282884615381</v>
      </c>
      <c r="E15" s="7">
        <f t="shared" si="1"/>
        <v>119.12955207692309</v>
      </c>
      <c r="F15" s="7">
        <f t="shared" si="1"/>
        <v>311.09391769230768</v>
      </c>
      <c r="G15" s="7">
        <f t="shared" si="1"/>
        <v>305.13332076923075</v>
      </c>
      <c r="H15" s="7">
        <f t="shared" si="1"/>
        <v>283.69295</v>
      </c>
      <c r="I15" s="7">
        <f t="shared" si="1"/>
        <v>311.37670076923075</v>
      </c>
      <c r="J15" s="7">
        <f t="shared" si="1"/>
        <v>332.65331692307694</v>
      </c>
      <c r="K15" s="2"/>
      <c r="L15" s="2"/>
      <c r="M15" s="2"/>
      <c r="N15" s="7">
        <f>SUM(B15:M15)</f>
        <v>1817.0387120384617</v>
      </c>
    </row>
  </sheetData>
  <phoneticPr fontId="3" type="noConversion"/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AD28-2719-49E3-BF40-EE869E54613A}">
  <dimension ref="A1:G217"/>
  <sheetViews>
    <sheetView workbookViewId="0">
      <selection activeCell="A2" sqref="A2:G163"/>
    </sheetView>
  </sheetViews>
  <sheetFormatPr baseColWidth="10" defaultColWidth="9.140625" defaultRowHeight="18.75" x14ac:dyDescent="0.3"/>
  <cols>
    <col min="1" max="1" width="14.42578125" style="3" bestFit="1" customWidth="1"/>
    <col min="2" max="2" width="6.7109375" style="3" bestFit="1" customWidth="1"/>
    <col min="3" max="3" width="4.85546875" style="3" bestFit="1" customWidth="1"/>
    <col min="4" max="4" width="8.140625" style="3" bestFit="1" customWidth="1"/>
    <col min="5" max="5" width="6.7109375" style="3" bestFit="1" customWidth="1"/>
    <col min="6" max="6" width="10.5703125" style="3" bestFit="1" customWidth="1"/>
    <col min="7" max="7" width="14.42578125" style="3" bestFit="1" customWidth="1"/>
  </cols>
  <sheetData>
    <row r="1" spans="1:7" x14ac:dyDescent="0.3">
      <c r="A1" s="3" t="s">
        <v>35</v>
      </c>
      <c r="B1" s="3" t="s">
        <v>31</v>
      </c>
      <c r="C1" s="3" t="s">
        <v>30</v>
      </c>
      <c r="D1" s="3" t="s">
        <v>28</v>
      </c>
      <c r="E1" s="3" t="s">
        <v>29</v>
      </c>
      <c r="F1" s="3" t="s">
        <v>32</v>
      </c>
      <c r="G1" s="3" t="s">
        <v>33</v>
      </c>
    </row>
    <row r="2" spans="1:7" x14ac:dyDescent="0.3">
      <c r="A2" s="3">
        <v>5.2492599999999996</v>
      </c>
      <c r="B2" s="3">
        <v>2024</v>
      </c>
      <c r="C2" s="3">
        <v>1</v>
      </c>
      <c r="D2" s="3">
        <v>1</v>
      </c>
      <c r="E2" s="3">
        <v>1</v>
      </c>
      <c r="F2" s="5">
        <v>45658</v>
      </c>
      <c r="G2" s="3">
        <v>5.2492599999999996</v>
      </c>
    </row>
    <row r="3" spans="1:7" x14ac:dyDescent="0.3">
      <c r="A3" s="3">
        <v>4.5963326000000002</v>
      </c>
      <c r="B3" s="3">
        <v>2024</v>
      </c>
      <c r="C3" s="3">
        <v>1</v>
      </c>
      <c r="D3" s="3">
        <v>2</v>
      </c>
      <c r="E3" s="3">
        <v>6</v>
      </c>
      <c r="F3" s="5">
        <v>45663</v>
      </c>
      <c r="G3" s="3">
        <v>9.8455925000000004</v>
      </c>
    </row>
    <row r="4" spans="1:7" x14ac:dyDescent="0.3">
      <c r="A4" s="3">
        <v>9.417605</v>
      </c>
      <c r="B4" s="3">
        <v>2024</v>
      </c>
      <c r="C4" s="3">
        <v>1</v>
      </c>
      <c r="D4" s="3">
        <v>3</v>
      </c>
      <c r="E4" s="3">
        <v>11</v>
      </c>
      <c r="F4" s="5">
        <v>45668</v>
      </c>
      <c r="G4" s="3">
        <v>19.263199</v>
      </c>
    </row>
    <row r="5" spans="1:7" x14ac:dyDescent="0.3">
      <c r="A5" s="3">
        <v>3.945147</v>
      </c>
      <c r="B5" s="3">
        <v>2024</v>
      </c>
      <c r="C5" s="3">
        <v>1</v>
      </c>
      <c r="D5" s="3">
        <v>4</v>
      </c>
      <c r="E5" s="3">
        <v>16</v>
      </c>
      <c r="F5" s="5">
        <v>45673</v>
      </c>
      <c r="G5" s="3">
        <v>23.208345000000001</v>
      </c>
    </row>
    <row r="6" spans="1:7" x14ac:dyDescent="0.3">
      <c r="A6" s="3">
        <v>5.0826297</v>
      </c>
      <c r="B6" s="3">
        <v>2024</v>
      </c>
      <c r="C6" s="3">
        <v>1</v>
      </c>
      <c r="D6" s="3">
        <v>5</v>
      </c>
      <c r="E6" s="3">
        <v>21</v>
      </c>
      <c r="F6" s="5">
        <v>45678</v>
      </c>
      <c r="G6" s="3">
        <v>28.290973999999999</v>
      </c>
    </row>
    <row r="7" spans="1:7" x14ac:dyDescent="0.3">
      <c r="A7" s="3">
        <v>13.980487</v>
      </c>
      <c r="B7" s="3">
        <v>2024</v>
      </c>
      <c r="C7" s="3">
        <v>1</v>
      </c>
      <c r="D7" s="3">
        <v>6</v>
      </c>
      <c r="E7" s="3">
        <v>26</v>
      </c>
      <c r="F7" s="5">
        <v>45683</v>
      </c>
      <c r="G7" s="3">
        <v>42.271459999999998</v>
      </c>
    </row>
    <row r="8" spans="1:7" x14ac:dyDescent="0.3">
      <c r="A8" s="3">
        <v>9.9413990000000005</v>
      </c>
      <c r="B8" s="3">
        <v>2024</v>
      </c>
      <c r="C8" s="3">
        <v>2</v>
      </c>
      <c r="D8" s="3">
        <v>1</v>
      </c>
      <c r="E8" s="3">
        <v>1</v>
      </c>
      <c r="F8" s="5">
        <v>45689</v>
      </c>
      <c r="G8" s="3">
        <v>52.212859999999999</v>
      </c>
    </row>
    <row r="9" spans="1:7" x14ac:dyDescent="0.3">
      <c r="A9" s="3">
        <v>4.7953580000000002</v>
      </c>
      <c r="B9" s="3">
        <v>2024</v>
      </c>
      <c r="C9" s="3">
        <v>2</v>
      </c>
      <c r="D9" s="3">
        <v>2</v>
      </c>
      <c r="E9" s="3">
        <v>6</v>
      </c>
      <c r="F9" s="5">
        <v>45694</v>
      </c>
      <c r="G9" s="3">
        <v>57.008217000000002</v>
      </c>
    </row>
    <row r="10" spans="1:7" x14ac:dyDescent="0.3">
      <c r="A10" s="3">
        <v>3.6274492999999999</v>
      </c>
      <c r="B10" s="3">
        <v>2024</v>
      </c>
      <c r="C10" s="3">
        <v>2</v>
      </c>
      <c r="D10" s="3">
        <v>3</v>
      </c>
      <c r="E10" s="3">
        <v>11</v>
      </c>
      <c r="F10" s="5">
        <v>45699</v>
      </c>
      <c r="G10" s="3">
        <v>60.635666000000001</v>
      </c>
    </row>
    <row r="11" spans="1:7" x14ac:dyDescent="0.3">
      <c r="A11" s="3">
        <v>7.8164879999999997</v>
      </c>
      <c r="B11" s="3">
        <v>2024</v>
      </c>
      <c r="C11" s="3">
        <v>2</v>
      </c>
      <c r="D11" s="3">
        <v>4</v>
      </c>
      <c r="E11" s="3">
        <v>16</v>
      </c>
      <c r="F11" s="5">
        <v>45704</v>
      </c>
      <c r="G11" s="3">
        <v>68.452156000000002</v>
      </c>
    </row>
    <row r="12" spans="1:7" x14ac:dyDescent="0.3">
      <c r="A12" s="3">
        <v>3.8636946999999999</v>
      </c>
      <c r="B12" s="3">
        <v>2024</v>
      </c>
      <c r="C12" s="3">
        <v>2</v>
      </c>
      <c r="D12" s="3">
        <v>5</v>
      </c>
      <c r="E12" s="3">
        <v>21</v>
      </c>
      <c r="F12" s="5">
        <v>45709</v>
      </c>
      <c r="G12" s="3">
        <v>72.315849999999998</v>
      </c>
    </row>
    <row r="13" spans="1:7" x14ac:dyDescent="0.3">
      <c r="A13" s="3">
        <v>3.0973334000000001</v>
      </c>
      <c r="B13" s="3">
        <v>2024</v>
      </c>
      <c r="C13" s="3">
        <v>2</v>
      </c>
      <c r="D13" s="3">
        <v>6</v>
      </c>
      <c r="E13" s="3">
        <v>26</v>
      </c>
      <c r="F13" s="5">
        <v>45714</v>
      </c>
      <c r="G13" s="3">
        <v>75.413184999999999</v>
      </c>
    </row>
    <row r="14" spans="1:7" x14ac:dyDescent="0.3">
      <c r="A14" s="3">
        <v>2.8400240000000001</v>
      </c>
      <c r="B14" s="3">
        <v>2024</v>
      </c>
      <c r="C14" s="3">
        <v>3</v>
      </c>
      <c r="D14" s="3">
        <v>1</v>
      </c>
      <c r="E14" s="3">
        <v>1</v>
      </c>
      <c r="F14" s="5">
        <v>45717</v>
      </c>
      <c r="G14" s="3">
        <v>78.253203999999997</v>
      </c>
    </row>
    <row r="15" spans="1:7" x14ac:dyDescent="0.3">
      <c r="A15" s="3">
        <v>1.6105003</v>
      </c>
      <c r="B15" s="3">
        <v>2024</v>
      </c>
      <c r="C15" s="3">
        <v>3</v>
      </c>
      <c r="D15" s="3">
        <v>2</v>
      </c>
      <c r="E15" s="3">
        <v>6</v>
      </c>
      <c r="F15" s="5">
        <v>45722</v>
      </c>
      <c r="G15" s="3">
        <v>79.863709999999998</v>
      </c>
    </row>
    <row r="16" spans="1:7" x14ac:dyDescent="0.3">
      <c r="A16" s="3">
        <v>2.9749854</v>
      </c>
      <c r="B16" s="3">
        <v>2024</v>
      </c>
      <c r="C16" s="3">
        <v>3</v>
      </c>
      <c r="D16" s="3">
        <v>3</v>
      </c>
      <c r="E16" s="3">
        <v>11</v>
      </c>
      <c r="F16" s="5">
        <v>45727</v>
      </c>
      <c r="G16" s="3">
        <v>82.83869</v>
      </c>
    </row>
    <row r="17" spans="1:7" x14ac:dyDescent="0.3">
      <c r="A17" s="3">
        <v>5.1857699999999998</v>
      </c>
      <c r="B17" s="3">
        <v>2024</v>
      </c>
      <c r="C17" s="3">
        <v>3</v>
      </c>
      <c r="D17" s="3">
        <v>4</v>
      </c>
      <c r="E17" s="3">
        <v>16</v>
      </c>
      <c r="F17" s="5">
        <v>45732</v>
      </c>
      <c r="G17" s="3">
        <v>88.024460000000005</v>
      </c>
    </row>
    <row r="18" spans="1:7" x14ac:dyDescent="0.3">
      <c r="A18" s="3">
        <v>4.8315444000000003</v>
      </c>
      <c r="B18" s="3">
        <v>2024</v>
      </c>
      <c r="C18" s="3">
        <v>3</v>
      </c>
      <c r="D18" s="3">
        <v>5</v>
      </c>
      <c r="E18" s="3">
        <v>21</v>
      </c>
      <c r="F18" s="5">
        <v>45737</v>
      </c>
      <c r="G18" s="3">
        <v>92.856009999999998</v>
      </c>
    </row>
    <row r="19" spans="1:7" x14ac:dyDescent="0.3">
      <c r="A19" s="3">
        <v>9.8148940000000007</v>
      </c>
      <c r="B19" s="3">
        <v>2024</v>
      </c>
      <c r="C19" s="3">
        <v>3</v>
      </c>
      <c r="D19" s="3">
        <v>6</v>
      </c>
      <c r="E19" s="3">
        <v>26</v>
      </c>
      <c r="F19" s="5">
        <v>45742</v>
      </c>
      <c r="G19" s="3">
        <v>102.6709</v>
      </c>
    </row>
    <row r="20" spans="1:7" x14ac:dyDescent="0.3">
      <c r="A20" s="3">
        <v>8.4280430000000006</v>
      </c>
      <c r="B20" s="3">
        <v>2024</v>
      </c>
      <c r="C20" s="3">
        <v>4</v>
      </c>
      <c r="D20" s="3">
        <v>1</v>
      </c>
      <c r="E20" s="3">
        <v>1</v>
      </c>
      <c r="F20" s="5">
        <v>45748</v>
      </c>
      <c r="G20" s="3">
        <v>111.098946</v>
      </c>
    </row>
    <row r="21" spans="1:7" x14ac:dyDescent="0.3">
      <c r="A21" s="3">
        <v>51.836410000000001</v>
      </c>
      <c r="B21" s="3">
        <v>2024</v>
      </c>
      <c r="C21" s="3">
        <v>4</v>
      </c>
      <c r="D21" s="3">
        <v>2</v>
      </c>
      <c r="E21" s="3">
        <v>6</v>
      </c>
      <c r="F21" s="5">
        <v>45753</v>
      </c>
      <c r="G21" s="3">
        <v>162.93536</v>
      </c>
    </row>
    <row r="22" spans="1:7" x14ac:dyDescent="0.3">
      <c r="A22" s="3">
        <v>3.5840244000000001</v>
      </c>
      <c r="B22" s="3">
        <v>2024</v>
      </c>
      <c r="C22" s="3">
        <v>4</v>
      </c>
      <c r="D22" s="3">
        <v>3</v>
      </c>
      <c r="E22" s="3">
        <v>11</v>
      </c>
      <c r="F22" s="5">
        <v>45758</v>
      </c>
      <c r="G22" s="3">
        <v>166.51938000000001</v>
      </c>
    </row>
    <row r="23" spans="1:7" x14ac:dyDescent="0.3">
      <c r="A23" s="3">
        <v>4.5789790000000004</v>
      </c>
      <c r="B23" s="3">
        <v>2024</v>
      </c>
      <c r="C23" s="3">
        <v>4</v>
      </c>
      <c r="D23" s="3">
        <v>4</v>
      </c>
      <c r="E23" s="3">
        <v>16</v>
      </c>
      <c r="F23" s="5">
        <v>45763</v>
      </c>
      <c r="G23" s="3">
        <v>171.09836000000001</v>
      </c>
    </row>
    <row r="24" spans="1:7" x14ac:dyDescent="0.3">
      <c r="A24" s="3">
        <v>35.190944999999999</v>
      </c>
      <c r="B24" s="3">
        <v>2024</v>
      </c>
      <c r="C24" s="3">
        <v>4</v>
      </c>
      <c r="D24" s="3">
        <v>5</v>
      </c>
      <c r="E24" s="3">
        <v>21</v>
      </c>
      <c r="F24" s="5">
        <v>45768</v>
      </c>
      <c r="G24" s="3">
        <v>206.2893</v>
      </c>
    </row>
    <row r="25" spans="1:7" x14ac:dyDescent="0.3">
      <c r="A25" s="3">
        <v>49.291473000000003</v>
      </c>
      <c r="B25" s="3">
        <v>2024</v>
      </c>
      <c r="C25" s="3">
        <v>4</v>
      </c>
      <c r="D25" s="3">
        <v>6</v>
      </c>
      <c r="E25" s="3">
        <v>26</v>
      </c>
      <c r="F25" s="5">
        <v>45773</v>
      </c>
      <c r="G25" s="3">
        <v>255.58078</v>
      </c>
    </row>
    <row r="26" spans="1:7" x14ac:dyDescent="0.3">
      <c r="A26" s="3">
        <v>27.345006999999999</v>
      </c>
      <c r="B26" s="3">
        <v>2024</v>
      </c>
      <c r="C26" s="3">
        <v>5</v>
      </c>
      <c r="D26" s="3">
        <v>1</v>
      </c>
      <c r="E26" s="3">
        <v>1</v>
      </c>
      <c r="F26" s="5">
        <v>45778</v>
      </c>
      <c r="G26" s="3">
        <v>282.92577999999997</v>
      </c>
    </row>
    <row r="27" spans="1:7" x14ac:dyDescent="0.3">
      <c r="A27" s="3">
        <v>50.558692999999998</v>
      </c>
      <c r="B27" s="3">
        <v>2024</v>
      </c>
      <c r="C27" s="3">
        <v>5</v>
      </c>
      <c r="D27" s="3">
        <v>2</v>
      </c>
      <c r="E27" s="3">
        <v>6</v>
      </c>
      <c r="F27" s="5">
        <v>45783</v>
      </c>
      <c r="G27" s="3">
        <v>333.48446999999999</v>
      </c>
    </row>
    <row r="28" spans="1:7" x14ac:dyDescent="0.3">
      <c r="A28" s="3">
        <v>68.892129999999995</v>
      </c>
      <c r="B28" s="3">
        <v>2024</v>
      </c>
      <c r="C28" s="3">
        <v>5</v>
      </c>
      <c r="D28" s="3">
        <v>3</v>
      </c>
      <c r="E28" s="3">
        <v>11</v>
      </c>
      <c r="F28" s="5">
        <v>45788</v>
      </c>
      <c r="G28" s="3">
        <v>402.3766</v>
      </c>
    </row>
    <row r="29" spans="1:7" x14ac:dyDescent="0.3">
      <c r="A29" s="3">
        <v>51.808804000000002</v>
      </c>
      <c r="B29" s="3">
        <v>2024</v>
      </c>
      <c r="C29" s="3">
        <v>5</v>
      </c>
      <c r="D29" s="3">
        <v>4</v>
      </c>
      <c r="E29" s="3">
        <v>16</v>
      </c>
      <c r="F29" s="5">
        <v>45793</v>
      </c>
      <c r="G29" s="3">
        <v>454.18540000000002</v>
      </c>
    </row>
    <row r="30" spans="1:7" x14ac:dyDescent="0.3">
      <c r="A30" s="3">
        <v>52.960239999999999</v>
      </c>
      <c r="B30" s="3">
        <v>2024</v>
      </c>
      <c r="C30" s="3">
        <v>5</v>
      </c>
      <c r="D30" s="3">
        <v>5</v>
      </c>
      <c r="E30" s="3">
        <v>21</v>
      </c>
      <c r="F30" s="5">
        <v>45798</v>
      </c>
      <c r="G30" s="3">
        <v>507.14562999999998</v>
      </c>
    </row>
    <row r="31" spans="1:7" x14ac:dyDescent="0.3">
      <c r="A31" s="3">
        <v>52.317590000000003</v>
      </c>
      <c r="B31" s="3">
        <v>2024</v>
      </c>
      <c r="C31" s="3">
        <v>5</v>
      </c>
      <c r="D31" s="3">
        <v>6</v>
      </c>
      <c r="E31" s="3">
        <v>26</v>
      </c>
      <c r="F31" s="5">
        <v>45803</v>
      </c>
      <c r="G31" s="3">
        <v>559.46325999999999</v>
      </c>
    </row>
    <row r="32" spans="1:7" x14ac:dyDescent="0.3">
      <c r="A32" s="3">
        <v>50.438299999999998</v>
      </c>
      <c r="B32" s="3">
        <v>2024</v>
      </c>
      <c r="C32" s="3">
        <v>6</v>
      </c>
      <c r="D32" s="3">
        <v>1</v>
      </c>
      <c r="E32" s="3">
        <v>1</v>
      </c>
      <c r="F32" s="5">
        <v>45809</v>
      </c>
      <c r="G32" s="3">
        <v>609.90155000000004</v>
      </c>
    </row>
    <row r="33" spans="1:7" x14ac:dyDescent="0.3">
      <c r="A33" s="3">
        <v>58.700417000000002</v>
      </c>
      <c r="B33" s="3">
        <v>2024</v>
      </c>
      <c r="C33" s="3">
        <v>6</v>
      </c>
      <c r="D33" s="3">
        <v>2</v>
      </c>
      <c r="E33" s="3">
        <v>6</v>
      </c>
      <c r="F33" s="5">
        <v>45814</v>
      </c>
      <c r="G33" s="3">
        <v>668.6019</v>
      </c>
    </row>
    <row r="34" spans="1:7" x14ac:dyDescent="0.3">
      <c r="A34" s="3">
        <v>83.162800000000004</v>
      </c>
      <c r="B34" s="3">
        <v>2024</v>
      </c>
      <c r="C34" s="3">
        <v>6</v>
      </c>
      <c r="D34" s="3">
        <v>3</v>
      </c>
      <c r="E34" s="3">
        <v>11</v>
      </c>
      <c r="F34" s="5">
        <v>45819</v>
      </c>
      <c r="G34" s="3">
        <v>751.76480000000004</v>
      </c>
    </row>
    <row r="35" spans="1:7" x14ac:dyDescent="0.3">
      <c r="A35" s="3">
        <v>61.870980000000003</v>
      </c>
      <c r="B35" s="3">
        <v>2024</v>
      </c>
      <c r="C35" s="3">
        <v>6</v>
      </c>
      <c r="D35" s="3">
        <v>4</v>
      </c>
      <c r="E35" s="3">
        <v>16</v>
      </c>
      <c r="F35" s="5">
        <v>45824</v>
      </c>
      <c r="G35" s="3">
        <v>813.63574000000006</v>
      </c>
    </row>
    <row r="36" spans="1:7" x14ac:dyDescent="0.3">
      <c r="A36" s="3">
        <v>43.194755999999998</v>
      </c>
      <c r="B36" s="3">
        <v>2024</v>
      </c>
      <c r="C36" s="3">
        <v>6</v>
      </c>
      <c r="D36" s="3">
        <v>5</v>
      </c>
      <c r="E36" s="3">
        <v>21</v>
      </c>
      <c r="F36" s="5">
        <v>45829</v>
      </c>
      <c r="G36" s="3">
        <v>856.83050000000003</v>
      </c>
    </row>
    <row r="37" spans="1:7" x14ac:dyDescent="0.3">
      <c r="A37" s="3">
        <v>33.611879999999999</v>
      </c>
      <c r="B37" s="3">
        <v>2024</v>
      </c>
      <c r="C37" s="3">
        <v>6</v>
      </c>
      <c r="D37" s="3">
        <v>6</v>
      </c>
      <c r="E37" s="3">
        <v>26</v>
      </c>
      <c r="F37" s="5">
        <v>45834</v>
      </c>
      <c r="G37" s="3">
        <v>890.44240000000002</v>
      </c>
    </row>
    <row r="38" spans="1:7" x14ac:dyDescent="0.3">
      <c r="A38" s="3">
        <v>48.680484999999997</v>
      </c>
      <c r="B38" s="3">
        <v>2024</v>
      </c>
      <c r="C38" s="3">
        <v>7</v>
      </c>
      <c r="D38" s="3">
        <v>1</v>
      </c>
      <c r="E38" s="3">
        <v>1</v>
      </c>
      <c r="F38" s="5">
        <v>45839</v>
      </c>
      <c r="G38" s="3">
        <v>939.12285999999995</v>
      </c>
    </row>
    <row r="39" spans="1:7" x14ac:dyDescent="0.3">
      <c r="A39" s="3">
        <v>35.615887000000001</v>
      </c>
      <c r="B39" s="3">
        <v>2024</v>
      </c>
      <c r="C39" s="3">
        <v>7</v>
      </c>
      <c r="D39" s="3">
        <v>2</v>
      </c>
      <c r="E39" s="3">
        <v>6</v>
      </c>
      <c r="F39" s="5">
        <v>45844</v>
      </c>
      <c r="G39" s="3">
        <v>974.73879999999997</v>
      </c>
    </row>
    <row r="40" spans="1:7" x14ac:dyDescent="0.3">
      <c r="A40" s="3">
        <v>46.791220000000003</v>
      </c>
      <c r="B40" s="3">
        <v>2024</v>
      </c>
      <c r="C40" s="3">
        <v>7</v>
      </c>
      <c r="D40" s="3">
        <v>3</v>
      </c>
      <c r="E40" s="3">
        <v>11</v>
      </c>
      <c r="F40" s="5">
        <v>45849</v>
      </c>
      <c r="G40" s="3">
        <v>1021.52997</v>
      </c>
    </row>
    <row r="41" spans="1:7" x14ac:dyDescent="0.3">
      <c r="A41" s="3">
        <v>50.363697000000002</v>
      </c>
      <c r="B41" s="3">
        <v>2024</v>
      </c>
      <c r="C41" s="3">
        <v>7</v>
      </c>
      <c r="D41" s="3">
        <v>4</v>
      </c>
      <c r="E41" s="3">
        <v>16</v>
      </c>
      <c r="F41" s="5">
        <v>45854</v>
      </c>
      <c r="G41" s="3">
        <v>1071.8937000000001</v>
      </c>
    </row>
    <row r="42" spans="1:7" x14ac:dyDescent="0.3">
      <c r="A42" s="3">
        <v>49.690550000000002</v>
      </c>
      <c r="B42" s="3">
        <v>2024</v>
      </c>
      <c r="C42" s="3">
        <v>7</v>
      </c>
      <c r="D42" s="3">
        <v>5</v>
      </c>
      <c r="E42" s="3">
        <v>21</v>
      </c>
      <c r="F42" s="5">
        <v>45859</v>
      </c>
      <c r="G42" s="3">
        <v>1121.5842</v>
      </c>
    </row>
    <row r="43" spans="1:7" x14ac:dyDescent="0.3">
      <c r="A43" s="3">
        <v>66.886579999999995</v>
      </c>
      <c r="B43" s="3">
        <v>2024</v>
      </c>
      <c r="C43" s="3">
        <v>7</v>
      </c>
      <c r="D43" s="3">
        <v>6</v>
      </c>
      <c r="E43" s="3">
        <v>26</v>
      </c>
      <c r="F43" s="5">
        <v>45864</v>
      </c>
      <c r="G43" s="3">
        <v>1188.4708000000001</v>
      </c>
    </row>
    <row r="44" spans="1:7" x14ac:dyDescent="0.3">
      <c r="A44" s="3">
        <v>48.587234000000002</v>
      </c>
      <c r="B44" s="3">
        <v>2024</v>
      </c>
      <c r="C44" s="3">
        <v>8</v>
      </c>
      <c r="D44" s="3">
        <v>1</v>
      </c>
      <c r="E44" s="3">
        <v>1</v>
      </c>
      <c r="F44" s="5">
        <v>45870</v>
      </c>
      <c r="G44" s="3">
        <v>1237.058</v>
      </c>
    </row>
    <row r="45" spans="1:7" x14ac:dyDescent="0.3">
      <c r="A45" s="3">
        <v>68.053039999999996</v>
      </c>
      <c r="B45" s="3">
        <v>2024</v>
      </c>
      <c r="C45" s="3">
        <v>8</v>
      </c>
      <c r="D45" s="3">
        <v>2</v>
      </c>
      <c r="E45" s="3">
        <v>6</v>
      </c>
      <c r="F45" s="5">
        <v>45875</v>
      </c>
      <c r="G45" s="3">
        <v>1305.1111000000001</v>
      </c>
    </row>
    <row r="46" spans="1:7" x14ac:dyDescent="0.3">
      <c r="A46" s="3">
        <v>42.254092999999997</v>
      </c>
      <c r="B46" s="3">
        <v>2024</v>
      </c>
      <c r="C46" s="3">
        <v>8</v>
      </c>
      <c r="D46" s="3">
        <v>3</v>
      </c>
      <c r="E46" s="3">
        <v>11</v>
      </c>
      <c r="F46" s="5">
        <v>45880</v>
      </c>
      <c r="G46" s="3">
        <v>1347.3651</v>
      </c>
    </row>
    <row r="47" spans="1:7" x14ac:dyDescent="0.3">
      <c r="A47" s="3">
        <v>62.352615</v>
      </c>
      <c r="B47" s="3">
        <v>2024</v>
      </c>
      <c r="C47" s="3">
        <v>8</v>
      </c>
      <c r="D47" s="3">
        <v>4</v>
      </c>
      <c r="E47" s="3">
        <v>16</v>
      </c>
      <c r="F47" s="5">
        <v>45885</v>
      </c>
      <c r="G47" s="3">
        <v>1409.7177999999999</v>
      </c>
    </row>
    <row r="48" spans="1:7" x14ac:dyDescent="0.3">
      <c r="A48" s="3">
        <v>66.438575999999998</v>
      </c>
      <c r="B48" s="3">
        <v>2024</v>
      </c>
      <c r="C48" s="3">
        <v>8</v>
      </c>
      <c r="D48" s="3">
        <v>5</v>
      </c>
      <c r="E48" s="3">
        <v>21</v>
      </c>
      <c r="F48" s="5">
        <v>45890</v>
      </c>
      <c r="G48" s="3">
        <v>1476.1564000000001</v>
      </c>
    </row>
    <row r="49" spans="1:7" x14ac:dyDescent="0.3">
      <c r="A49" s="3">
        <v>48.39085</v>
      </c>
      <c r="B49" s="3">
        <v>2024</v>
      </c>
      <c r="C49" s="3">
        <v>8</v>
      </c>
      <c r="D49" s="3">
        <v>6</v>
      </c>
      <c r="E49" s="3">
        <v>26</v>
      </c>
      <c r="F49" s="5">
        <v>45895</v>
      </c>
      <c r="G49" s="3">
        <v>1524.5472</v>
      </c>
    </row>
    <row r="50" spans="1:7" x14ac:dyDescent="0.3">
      <c r="A50" s="3">
        <v>61.745944999999999</v>
      </c>
      <c r="B50" s="3">
        <v>2024</v>
      </c>
      <c r="C50" s="3">
        <v>9</v>
      </c>
      <c r="D50" s="3">
        <v>1</v>
      </c>
      <c r="E50" s="3">
        <v>1</v>
      </c>
      <c r="F50" s="5">
        <v>45901</v>
      </c>
      <c r="G50" s="3">
        <v>1586.2932000000001</v>
      </c>
    </row>
    <row r="51" spans="1:7" x14ac:dyDescent="0.3">
      <c r="A51" s="3">
        <v>55.749302</v>
      </c>
      <c r="B51" s="3">
        <v>2024</v>
      </c>
      <c r="C51" s="3">
        <v>9</v>
      </c>
      <c r="D51" s="3">
        <v>2</v>
      </c>
      <c r="E51" s="3">
        <v>6</v>
      </c>
      <c r="F51" s="5">
        <v>45906</v>
      </c>
      <c r="G51" s="3">
        <v>1642.0425</v>
      </c>
    </row>
    <row r="52" spans="1:7" x14ac:dyDescent="0.3">
      <c r="A52" s="3">
        <v>44.363680000000002</v>
      </c>
      <c r="B52" s="3">
        <v>2024</v>
      </c>
      <c r="C52" s="3">
        <v>9</v>
      </c>
      <c r="D52" s="3">
        <v>3</v>
      </c>
      <c r="E52" s="3">
        <v>11</v>
      </c>
      <c r="F52" s="5">
        <v>45911</v>
      </c>
      <c r="G52" s="3">
        <v>1686.4060999999999</v>
      </c>
    </row>
    <row r="53" spans="1:7" x14ac:dyDescent="0.3">
      <c r="A53" s="3">
        <v>61.65296</v>
      </c>
      <c r="B53" s="3">
        <v>2024</v>
      </c>
      <c r="C53" s="3">
        <v>9</v>
      </c>
      <c r="D53" s="3">
        <v>4</v>
      </c>
      <c r="E53" s="3">
        <v>16</v>
      </c>
      <c r="F53" s="5">
        <v>45916</v>
      </c>
      <c r="G53" s="3">
        <v>1748.0590999999999</v>
      </c>
    </row>
    <row r="54" spans="1:7" x14ac:dyDescent="0.3">
      <c r="A54" s="3">
        <v>67.535849999999996</v>
      </c>
      <c r="B54" s="3">
        <v>2024</v>
      </c>
      <c r="C54" s="3">
        <v>9</v>
      </c>
      <c r="D54" s="3">
        <v>5</v>
      </c>
      <c r="E54" s="3">
        <v>21</v>
      </c>
      <c r="F54" s="5">
        <v>45921</v>
      </c>
      <c r="G54" s="3">
        <v>1815.595</v>
      </c>
    </row>
    <row r="55" spans="1:7" x14ac:dyDescent="0.3">
      <c r="A55" s="3">
        <v>89.081023999999999</v>
      </c>
      <c r="B55" s="3">
        <v>2024</v>
      </c>
      <c r="C55" s="3">
        <v>9</v>
      </c>
      <c r="D55" s="3">
        <v>6</v>
      </c>
      <c r="E55" s="3">
        <v>26</v>
      </c>
      <c r="F55" s="5">
        <v>45926</v>
      </c>
      <c r="G55" s="3">
        <v>1904.6759999999999</v>
      </c>
    </row>
    <row r="56" spans="1:7" x14ac:dyDescent="0.3">
      <c r="A56" s="3">
        <v>51.443665000000003</v>
      </c>
      <c r="B56" s="3">
        <v>2025</v>
      </c>
      <c r="C56" s="3">
        <v>1</v>
      </c>
      <c r="D56" s="3">
        <v>1</v>
      </c>
      <c r="E56" s="3">
        <v>1</v>
      </c>
      <c r="F56" s="5">
        <v>45658</v>
      </c>
      <c r="G56" s="3">
        <v>51.443665000000003</v>
      </c>
    </row>
    <row r="57" spans="1:7" x14ac:dyDescent="0.3">
      <c r="A57" s="3">
        <v>30.218014</v>
      </c>
      <c r="B57" s="3">
        <v>2025</v>
      </c>
      <c r="C57" s="3">
        <v>1</v>
      </c>
      <c r="D57" s="3">
        <v>2</v>
      </c>
      <c r="E57" s="3">
        <v>6</v>
      </c>
      <c r="F57" s="5">
        <v>45663</v>
      </c>
      <c r="G57" s="3">
        <v>81.661680000000004</v>
      </c>
    </row>
    <row r="58" spans="1:7" x14ac:dyDescent="0.3">
      <c r="A58" s="3">
        <v>7.739935</v>
      </c>
      <c r="B58" s="3">
        <v>2025</v>
      </c>
      <c r="C58" s="3">
        <v>1</v>
      </c>
      <c r="D58" s="3">
        <v>3</v>
      </c>
      <c r="E58" s="3">
        <v>11</v>
      </c>
      <c r="F58" s="5">
        <v>45668</v>
      </c>
      <c r="G58" s="3">
        <v>89.401610000000005</v>
      </c>
    </row>
    <row r="59" spans="1:7" x14ac:dyDescent="0.3">
      <c r="A59" s="3">
        <v>11.712355000000001</v>
      </c>
      <c r="B59" s="3">
        <v>2025</v>
      </c>
      <c r="C59" s="3">
        <v>1</v>
      </c>
      <c r="D59" s="3">
        <v>4</v>
      </c>
      <c r="E59" s="3">
        <v>16</v>
      </c>
      <c r="F59" s="5">
        <v>45673</v>
      </c>
      <c r="G59" s="3">
        <v>101.11396999999999</v>
      </c>
    </row>
    <row r="60" spans="1:7" x14ac:dyDescent="0.3">
      <c r="A60" s="3">
        <v>8.5210740000000005</v>
      </c>
      <c r="B60" s="3">
        <v>2025</v>
      </c>
      <c r="C60" s="3">
        <v>1</v>
      </c>
      <c r="D60" s="3">
        <v>5</v>
      </c>
      <c r="E60" s="3">
        <v>21</v>
      </c>
      <c r="F60" s="5">
        <v>45678</v>
      </c>
      <c r="G60" s="3">
        <v>109.63504</v>
      </c>
    </row>
    <row r="61" spans="1:7" x14ac:dyDescent="0.3">
      <c r="A61" s="3">
        <v>9.6642499999999991</v>
      </c>
      <c r="B61" s="3">
        <v>2025</v>
      </c>
      <c r="C61" s="3">
        <v>1</v>
      </c>
      <c r="D61" s="3">
        <v>6</v>
      </c>
      <c r="E61" s="3">
        <v>26</v>
      </c>
      <c r="F61" s="5">
        <v>45683</v>
      </c>
      <c r="G61" s="3">
        <v>119.29929</v>
      </c>
    </row>
    <row r="62" spans="1:7" x14ac:dyDescent="0.3">
      <c r="A62" s="3">
        <v>14.432331</v>
      </c>
      <c r="B62" s="3">
        <v>2025</v>
      </c>
      <c r="C62" s="3">
        <v>2</v>
      </c>
      <c r="D62" s="3">
        <v>1</v>
      </c>
      <c r="E62" s="3">
        <v>1</v>
      </c>
      <c r="F62" s="5">
        <v>45689</v>
      </c>
      <c r="G62" s="3">
        <v>133.73163</v>
      </c>
    </row>
    <row r="63" spans="1:7" x14ac:dyDescent="0.3">
      <c r="A63" s="3">
        <v>8.7800454999999999</v>
      </c>
      <c r="B63" s="3">
        <v>2025</v>
      </c>
      <c r="C63" s="3">
        <v>2</v>
      </c>
      <c r="D63" s="3">
        <v>2</v>
      </c>
      <c r="E63" s="3">
        <v>6</v>
      </c>
      <c r="F63" s="5">
        <v>45694</v>
      </c>
      <c r="G63" s="3">
        <v>142.51167000000001</v>
      </c>
    </row>
    <row r="64" spans="1:7" x14ac:dyDescent="0.3">
      <c r="A64" s="3">
        <v>36.847520000000003</v>
      </c>
      <c r="B64" s="3">
        <v>2025</v>
      </c>
      <c r="C64" s="3">
        <v>2</v>
      </c>
      <c r="D64" s="3">
        <v>3</v>
      </c>
      <c r="E64" s="3">
        <v>11</v>
      </c>
      <c r="F64" s="5">
        <v>45699</v>
      </c>
      <c r="G64" s="3">
        <v>179.35919000000001</v>
      </c>
    </row>
    <row r="65" spans="1:7" x14ac:dyDescent="0.3">
      <c r="A65" s="3">
        <v>47.512675999999999</v>
      </c>
      <c r="B65" s="3">
        <v>2025</v>
      </c>
      <c r="C65" s="3">
        <v>2</v>
      </c>
      <c r="D65" s="3">
        <v>4</v>
      </c>
      <c r="E65" s="3">
        <v>16</v>
      </c>
      <c r="F65" s="5">
        <v>45704</v>
      </c>
      <c r="G65" s="3">
        <v>226.87186</v>
      </c>
    </row>
    <row r="66" spans="1:7" x14ac:dyDescent="0.3">
      <c r="A66" s="3">
        <v>11.339198</v>
      </c>
      <c r="B66" s="3">
        <v>2025</v>
      </c>
      <c r="C66" s="3">
        <v>2</v>
      </c>
      <c r="D66" s="3">
        <v>5</v>
      </c>
      <c r="E66" s="3">
        <v>21</v>
      </c>
      <c r="F66" s="5">
        <v>45709</v>
      </c>
      <c r="G66" s="3">
        <v>238.21106</v>
      </c>
    </row>
    <row r="67" spans="1:7" x14ac:dyDescent="0.3">
      <c r="A67" s="3">
        <v>5.0655340000000004</v>
      </c>
      <c r="B67" s="3">
        <v>2025</v>
      </c>
      <c r="C67" s="3">
        <v>2</v>
      </c>
      <c r="D67" s="3">
        <v>6</v>
      </c>
      <c r="E67" s="3">
        <v>26</v>
      </c>
      <c r="F67" s="5">
        <v>45714</v>
      </c>
      <c r="G67" s="3">
        <v>243.2766</v>
      </c>
    </row>
    <row r="68" spans="1:7" x14ac:dyDescent="0.3">
      <c r="A68" s="3">
        <v>6.6873073999999999</v>
      </c>
      <c r="B68" s="3">
        <v>2025</v>
      </c>
      <c r="C68" s="3">
        <v>3</v>
      </c>
      <c r="D68" s="3">
        <v>1</v>
      </c>
      <c r="E68" s="3">
        <v>1</v>
      </c>
      <c r="F68" s="5">
        <v>45717</v>
      </c>
      <c r="G68" s="3">
        <v>249.9639</v>
      </c>
    </row>
    <row r="69" spans="1:7" x14ac:dyDescent="0.3">
      <c r="A69" s="3">
        <v>5.1503972999999998</v>
      </c>
      <c r="B69" s="3">
        <v>2025</v>
      </c>
      <c r="C69" s="3">
        <v>3</v>
      </c>
      <c r="D69" s="3">
        <v>2</v>
      </c>
      <c r="E69" s="3">
        <v>6</v>
      </c>
      <c r="F69" s="5">
        <v>45722</v>
      </c>
      <c r="G69" s="3">
        <v>255.11429999999999</v>
      </c>
    </row>
    <row r="70" spans="1:7" x14ac:dyDescent="0.3">
      <c r="A70" s="3">
        <v>5.3021646000000002</v>
      </c>
      <c r="B70" s="3">
        <v>2025</v>
      </c>
      <c r="C70" s="3">
        <v>3</v>
      </c>
      <c r="D70" s="3">
        <v>3</v>
      </c>
      <c r="E70" s="3">
        <v>11</v>
      </c>
      <c r="F70" s="5">
        <v>45727</v>
      </c>
      <c r="G70" s="3">
        <v>260.41647</v>
      </c>
    </row>
    <row r="71" spans="1:7" x14ac:dyDescent="0.3">
      <c r="A71" s="3">
        <v>7.7123600000000003</v>
      </c>
      <c r="B71" s="3">
        <v>2025</v>
      </c>
      <c r="C71" s="3">
        <v>3</v>
      </c>
      <c r="D71" s="3">
        <v>4</v>
      </c>
      <c r="E71" s="3">
        <v>16</v>
      </c>
      <c r="F71" s="5">
        <v>45732</v>
      </c>
      <c r="G71" s="3">
        <v>268.12880000000001</v>
      </c>
    </row>
    <row r="72" spans="1:7" x14ac:dyDescent="0.3">
      <c r="A72" s="3">
        <v>24.789614</v>
      </c>
      <c r="B72" s="3">
        <v>2025</v>
      </c>
      <c r="C72" s="3">
        <v>3</v>
      </c>
      <c r="D72" s="3">
        <v>5</v>
      </c>
      <c r="E72" s="3">
        <v>21</v>
      </c>
      <c r="F72" s="5">
        <v>45737</v>
      </c>
      <c r="G72" s="3">
        <v>292.91843</v>
      </c>
    </row>
    <row r="73" spans="1:7" x14ac:dyDescent="0.3">
      <c r="A73" s="3">
        <v>23.760328000000001</v>
      </c>
      <c r="B73" s="3">
        <v>2025</v>
      </c>
      <c r="C73" s="3">
        <v>3</v>
      </c>
      <c r="D73" s="3">
        <v>6</v>
      </c>
      <c r="E73" s="3">
        <v>26</v>
      </c>
      <c r="F73" s="5">
        <v>45742</v>
      </c>
      <c r="G73" s="3">
        <v>316.67876999999999</v>
      </c>
    </row>
    <row r="74" spans="1:7" x14ac:dyDescent="0.3">
      <c r="A74" s="3">
        <v>30.345040000000001</v>
      </c>
      <c r="B74" s="3">
        <v>2025</v>
      </c>
      <c r="C74" s="3">
        <v>4</v>
      </c>
      <c r="D74" s="3">
        <v>1</v>
      </c>
      <c r="E74" s="3">
        <v>1</v>
      </c>
      <c r="F74" s="5">
        <v>45748</v>
      </c>
      <c r="G74" s="3">
        <v>347.02379999999999</v>
      </c>
    </row>
    <row r="75" spans="1:7" x14ac:dyDescent="0.3">
      <c r="A75" s="3">
        <v>26.385967000000001</v>
      </c>
      <c r="B75" s="3">
        <v>2025</v>
      </c>
      <c r="C75" s="3">
        <v>4</v>
      </c>
      <c r="D75" s="3">
        <v>2</v>
      </c>
      <c r="E75" s="3">
        <v>6</v>
      </c>
      <c r="F75" s="5">
        <v>45753</v>
      </c>
      <c r="G75" s="3">
        <v>373.40980000000002</v>
      </c>
    </row>
    <row r="76" spans="1:7" x14ac:dyDescent="0.3">
      <c r="A76" s="3">
        <v>14.766455000000001</v>
      </c>
      <c r="B76" s="3">
        <v>2025</v>
      </c>
      <c r="C76" s="3">
        <v>4</v>
      </c>
      <c r="D76" s="3">
        <v>3</v>
      </c>
      <c r="E76" s="3">
        <v>11</v>
      </c>
      <c r="F76" s="5">
        <v>45758</v>
      </c>
      <c r="G76" s="3">
        <v>388.17624000000001</v>
      </c>
    </row>
    <row r="77" spans="1:7" x14ac:dyDescent="0.3">
      <c r="A77" s="3">
        <v>13.573517000000001</v>
      </c>
      <c r="B77" s="3">
        <v>2025</v>
      </c>
      <c r="C77" s="3">
        <v>4</v>
      </c>
      <c r="D77" s="3">
        <v>4</v>
      </c>
      <c r="E77" s="3">
        <v>16</v>
      </c>
      <c r="F77" s="5">
        <v>45763</v>
      </c>
      <c r="G77" s="3">
        <v>401.74975999999998</v>
      </c>
    </row>
    <row r="78" spans="1:7" x14ac:dyDescent="0.3">
      <c r="A78" s="3">
        <v>39.140994999999997</v>
      </c>
      <c r="B78" s="3">
        <v>2025</v>
      </c>
      <c r="C78" s="3">
        <v>4</v>
      </c>
      <c r="D78" s="3">
        <v>5</v>
      </c>
      <c r="E78" s="3">
        <v>21</v>
      </c>
      <c r="F78" s="5">
        <v>45768</v>
      </c>
      <c r="G78" s="3">
        <v>440.89075000000003</v>
      </c>
    </row>
    <row r="79" spans="1:7" x14ac:dyDescent="0.3">
      <c r="A79" s="3">
        <v>41.962490000000003</v>
      </c>
      <c r="B79" s="3">
        <v>2025</v>
      </c>
      <c r="C79" s="3">
        <v>4</v>
      </c>
      <c r="D79" s="3">
        <v>6</v>
      </c>
      <c r="E79" s="3">
        <v>26</v>
      </c>
      <c r="F79" s="5">
        <v>45773</v>
      </c>
      <c r="G79" s="3">
        <v>482.85324000000003</v>
      </c>
    </row>
    <row r="80" spans="1:7" x14ac:dyDescent="0.3">
      <c r="A80" s="3">
        <v>55.322018</v>
      </c>
      <c r="B80" s="3">
        <v>2025</v>
      </c>
      <c r="C80" s="3">
        <v>5</v>
      </c>
      <c r="D80" s="3">
        <v>1</v>
      </c>
      <c r="E80" s="3">
        <v>1</v>
      </c>
      <c r="F80" s="5">
        <v>45778</v>
      </c>
      <c r="G80" s="3">
        <v>538.17523000000006</v>
      </c>
    </row>
    <row r="81" spans="1:7" x14ac:dyDescent="0.3">
      <c r="A81" s="3">
        <v>48.162059999999997</v>
      </c>
      <c r="B81" s="3">
        <v>2025</v>
      </c>
      <c r="C81" s="3">
        <v>5</v>
      </c>
      <c r="D81" s="3">
        <v>2</v>
      </c>
      <c r="E81" s="3">
        <v>6</v>
      </c>
      <c r="F81" s="5">
        <v>45783</v>
      </c>
      <c r="G81" s="3">
        <v>586.33730000000003</v>
      </c>
    </row>
    <row r="82" spans="1:7" x14ac:dyDescent="0.3">
      <c r="A82" s="3">
        <v>73.48912</v>
      </c>
      <c r="B82" s="3">
        <v>2025</v>
      </c>
      <c r="C82" s="3">
        <v>5</v>
      </c>
      <c r="D82" s="3">
        <v>3</v>
      </c>
      <c r="E82" s="3">
        <v>11</v>
      </c>
      <c r="F82" s="5">
        <v>45788</v>
      </c>
      <c r="G82" s="3">
        <v>659.82640000000004</v>
      </c>
    </row>
    <row r="83" spans="1:7" x14ac:dyDescent="0.3">
      <c r="A83" s="3">
        <v>73.519159999999999</v>
      </c>
      <c r="B83" s="3">
        <v>2025</v>
      </c>
      <c r="C83" s="3">
        <v>5</v>
      </c>
      <c r="D83" s="3">
        <v>4</v>
      </c>
      <c r="E83" s="3">
        <v>16</v>
      </c>
      <c r="F83" s="5">
        <v>45793</v>
      </c>
      <c r="G83" s="3">
        <v>733.34559999999999</v>
      </c>
    </row>
    <row r="84" spans="1:7" x14ac:dyDescent="0.3">
      <c r="A84" s="3">
        <v>73.128389999999996</v>
      </c>
      <c r="B84" s="3">
        <v>2025</v>
      </c>
      <c r="C84" s="3">
        <v>5</v>
      </c>
      <c r="D84" s="3">
        <v>5</v>
      </c>
      <c r="E84" s="3">
        <v>21</v>
      </c>
      <c r="F84" s="5">
        <v>45798</v>
      </c>
      <c r="G84" s="3">
        <v>806.47400000000005</v>
      </c>
    </row>
    <row r="85" spans="1:7" x14ac:dyDescent="0.3">
      <c r="A85" s="3">
        <v>50.314033999999999</v>
      </c>
      <c r="B85" s="3">
        <v>2025</v>
      </c>
      <c r="C85" s="3">
        <v>5</v>
      </c>
      <c r="D85" s="3">
        <v>6</v>
      </c>
      <c r="E85" s="3">
        <v>26</v>
      </c>
      <c r="F85" s="5">
        <v>45803</v>
      </c>
      <c r="G85" s="3">
        <v>856.78800000000001</v>
      </c>
    </row>
    <row r="86" spans="1:7" x14ac:dyDescent="0.3">
      <c r="A86" s="3">
        <v>56.452938000000003</v>
      </c>
      <c r="B86" s="3">
        <v>2025</v>
      </c>
      <c r="C86" s="3">
        <v>6</v>
      </c>
      <c r="D86" s="3">
        <v>1</v>
      </c>
      <c r="E86" s="3">
        <v>1</v>
      </c>
      <c r="F86" s="5">
        <v>45809</v>
      </c>
      <c r="G86" s="3">
        <v>913.24096999999995</v>
      </c>
    </row>
    <row r="87" spans="1:7" x14ac:dyDescent="0.3">
      <c r="A87" s="3">
        <v>77.087310000000002</v>
      </c>
      <c r="B87" s="3">
        <v>2025</v>
      </c>
      <c r="C87" s="3">
        <v>6</v>
      </c>
      <c r="D87" s="3">
        <v>2</v>
      </c>
      <c r="E87" s="3">
        <v>6</v>
      </c>
      <c r="F87" s="5">
        <v>45814</v>
      </c>
      <c r="G87" s="3">
        <v>990.32825000000003</v>
      </c>
    </row>
    <row r="88" spans="1:7" x14ac:dyDescent="0.3">
      <c r="A88" s="3">
        <v>52.885773</v>
      </c>
      <c r="B88" s="3">
        <v>2025</v>
      </c>
      <c r="C88" s="3">
        <v>6</v>
      </c>
      <c r="D88" s="3">
        <v>3</v>
      </c>
      <c r="E88" s="3">
        <v>11</v>
      </c>
      <c r="F88" s="5">
        <v>45819</v>
      </c>
      <c r="G88" s="3">
        <v>1043.2139999999999</v>
      </c>
    </row>
    <row r="89" spans="1:7" x14ac:dyDescent="0.3">
      <c r="A89" s="3">
        <v>39.925713000000002</v>
      </c>
      <c r="B89" s="3">
        <v>2025</v>
      </c>
      <c r="C89" s="3">
        <v>6</v>
      </c>
      <c r="D89" s="3">
        <v>4</v>
      </c>
      <c r="E89" s="3">
        <v>16</v>
      </c>
      <c r="F89" s="5">
        <v>45824</v>
      </c>
      <c r="G89" s="3">
        <v>1083.1397999999999</v>
      </c>
    </row>
    <row r="90" spans="1:7" x14ac:dyDescent="0.3">
      <c r="A90" s="3">
        <v>77.791625999999994</v>
      </c>
      <c r="B90" s="3">
        <v>2025</v>
      </c>
      <c r="C90" s="3">
        <v>6</v>
      </c>
      <c r="D90" s="3">
        <v>5</v>
      </c>
      <c r="E90" s="3">
        <v>21</v>
      </c>
      <c r="F90" s="5">
        <v>45829</v>
      </c>
      <c r="G90" s="3">
        <v>1160.9313999999999</v>
      </c>
    </row>
    <row r="91" spans="1:7" x14ac:dyDescent="0.3">
      <c r="A91" s="3">
        <v>36.81955</v>
      </c>
      <c r="B91" s="3">
        <v>2025</v>
      </c>
      <c r="C91" s="3">
        <v>6</v>
      </c>
      <c r="D91" s="3">
        <v>6</v>
      </c>
      <c r="E91" s="3">
        <v>26</v>
      </c>
      <c r="F91" s="5">
        <v>45834</v>
      </c>
      <c r="G91" s="3">
        <v>1197.751</v>
      </c>
    </row>
    <row r="92" spans="1:7" x14ac:dyDescent="0.3">
      <c r="A92" s="3">
        <v>57.959434999999999</v>
      </c>
      <c r="B92" s="3">
        <v>2025</v>
      </c>
      <c r="C92" s="3">
        <v>7</v>
      </c>
      <c r="D92" s="3">
        <v>1</v>
      </c>
      <c r="E92" s="3">
        <v>1</v>
      </c>
      <c r="F92" s="5">
        <v>45839</v>
      </c>
      <c r="G92" s="3">
        <v>1255.7103</v>
      </c>
    </row>
    <row r="93" spans="1:7" x14ac:dyDescent="0.3">
      <c r="A93" s="3">
        <v>46.852519999999998</v>
      </c>
      <c r="B93" s="3">
        <v>2025</v>
      </c>
      <c r="C93" s="3">
        <v>7</v>
      </c>
      <c r="D93" s="3">
        <v>2</v>
      </c>
      <c r="E93" s="3">
        <v>6</v>
      </c>
      <c r="F93" s="5">
        <v>45844</v>
      </c>
      <c r="G93" s="3">
        <v>1302.5628999999999</v>
      </c>
    </row>
    <row r="94" spans="1:7" x14ac:dyDescent="0.3">
      <c r="A94" s="3">
        <v>33.046756999999999</v>
      </c>
      <c r="B94" s="3">
        <v>2025</v>
      </c>
      <c r="C94" s="3">
        <v>7</v>
      </c>
      <c r="D94" s="3">
        <v>3</v>
      </c>
      <c r="E94" s="3">
        <v>11</v>
      </c>
      <c r="F94" s="5">
        <v>45849</v>
      </c>
      <c r="G94" s="3">
        <v>1335.6096</v>
      </c>
    </row>
    <row r="95" spans="1:7" x14ac:dyDescent="0.3">
      <c r="A95" s="3">
        <v>26.622537999999999</v>
      </c>
      <c r="B95" s="3">
        <v>2025</v>
      </c>
      <c r="C95" s="3">
        <v>7</v>
      </c>
      <c r="D95" s="3">
        <v>4</v>
      </c>
      <c r="E95" s="3">
        <v>16</v>
      </c>
      <c r="F95" s="5">
        <v>45854</v>
      </c>
      <c r="G95" s="3">
        <v>1362.2321999999999</v>
      </c>
    </row>
    <row r="96" spans="1:7" x14ac:dyDescent="0.3">
      <c r="A96" s="3">
        <v>49.471690000000002</v>
      </c>
      <c r="B96" s="3">
        <v>2025</v>
      </c>
      <c r="C96" s="3">
        <v>7</v>
      </c>
      <c r="D96" s="3">
        <v>5</v>
      </c>
      <c r="E96" s="3">
        <v>21</v>
      </c>
      <c r="F96" s="5">
        <v>45859</v>
      </c>
      <c r="G96" s="3">
        <v>1411.7039</v>
      </c>
    </row>
    <row r="97" spans="1:7" x14ac:dyDescent="0.3">
      <c r="A97" s="3">
        <v>50.246704000000001</v>
      </c>
      <c r="B97" s="3">
        <v>2025</v>
      </c>
      <c r="C97" s="3">
        <v>7</v>
      </c>
      <c r="D97" s="3">
        <v>6</v>
      </c>
      <c r="E97" s="3">
        <v>26</v>
      </c>
      <c r="F97" s="5">
        <v>45864</v>
      </c>
      <c r="G97" s="3">
        <v>1461.9505999999999</v>
      </c>
    </row>
    <row r="98" spans="1:7" x14ac:dyDescent="0.3">
      <c r="A98" s="3">
        <v>65.807159999999996</v>
      </c>
      <c r="B98" s="3">
        <v>2025</v>
      </c>
      <c r="C98" s="3">
        <v>8</v>
      </c>
      <c r="D98" s="3">
        <v>1</v>
      </c>
      <c r="E98" s="3">
        <v>1</v>
      </c>
      <c r="F98" s="5">
        <v>45870</v>
      </c>
      <c r="G98" s="3">
        <v>1527.7577000000001</v>
      </c>
    </row>
    <row r="99" spans="1:7" x14ac:dyDescent="0.3">
      <c r="A99" s="3">
        <v>19.735720000000001</v>
      </c>
      <c r="B99" s="3">
        <v>2025</v>
      </c>
      <c r="C99" s="3">
        <v>8</v>
      </c>
      <c r="D99" s="3">
        <v>2</v>
      </c>
      <c r="E99" s="3">
        <v>6</v>
      </c>
      <c r="F99" s="5">
        <v>45875</v>
      </c>
      <c r="G99" s="3">
        <v>1547.4934000000001</v>
      </c>
    </row>
    <row r="100" spans="1:7" x14ac:dyDescent="0.3">
      <c r="A100" s="3">
        <v>53.463833000000001</v>
      </c>
      <c r="B100" s="3">
        <v>2025</v>
      </c>
      <c r="C100" s="3">
        <v>8</v>
      </c>
      <c r="D100" s="3">
        <v>3</v>
      </c>
      <c r="E100" s="3">
        <v>11</v>
      </c>
      <c r="F100" s="5">
        <v>45880</v>
      </c>
      <c r="G100" s="3">
        <v>1600.9573</v>
      </c>
    </row>
    <row r="101" spans="1:7" x14ac:dyDescent="0.3">
      <c r="A101" s="3">
        <v>45.599589999999999</v>
      </c>
      <c r="B101" s="3">
        <v>2025</v>
      </c>
      <c r="C101" s="3">
        <v>8</v>
      </c>
      <c r="D101" s="3">
        <v>4</v>
      </c>
      <c r="E101" s="3">
        <v>16</v>
      </c>
      <c r="F101" s="5">
        <v>45885</v>
      </c>
      <c r="G101" s="3">
        <v>1646.5569</v>
      </c>
    </row>
    <row r="102" spans="1:7" x14ac:dyDescent="0.3">
      <c r="A102" s="3">
        <v>47.053730000000002</v>
      </c>
      <c r="B102" s="3">
        <v>2025</v>
      </c>
      <c r="C102" s="3">
        <v>8</v>
      </c>
      <c r="D102" s="3">
        <v>5</v>
      </c>
      <c r="E102" s="3">
        <v>21</v>
      </c>
      <c r="F102" s="5">
        <v>45890</v>
      </c>
      <c r="G102" s="3">
        <v>1693.6106</v>
      </c>
    </row>
    <row r="103" spans="1:7" x14ac:dyDescent="0.3">
      <c r="A103" s="3">
        <v>63.832836</v>
      </c>
      <c r="B103" s="3">
        <v>2025</v>
      </c>
      <c r="C103" s="3">
        <v>8</v>
      </c>
      <c r="D103" s="3">
        <v>6</v>
      </c>
      <c r="E103" s="3">
        <v>26</v>
      </c>
      <c r="F103" s="5">
        <v>45895</v>
      </c>
      <c r="G103" s="3">
        <v>1757.4435000000001</v>
      </c>
    </row>
    <row r="104" spans="1:7" x14ac:dyDescent="0.3">
      <c r="A104" s="3">
        <v>50.112952999999997</v>
      </c>
      <c r="B104" s="3">
        <v>2025</v>
      </c>
      <c r="C104" s="3">
        <v>9</v>
      </c>
      <c r="D104" s="3">
        <v>1</v>
      </c>
      <c r="E104" s="3">
        <v>1</v>
      </c>
      <c r="F104" s="5">
        <v>45901</v>
      </c>
      <c r="G104" s="3">
        <v>1807.5563999999999</v>
      </c>
    </row>
    <row r="105" spans="1:7" x14ac:dyDescent="0.3">
      <c r="A105" s="3">
        <v>39.404277999999998</v>
      </c>
      <c r="B105" s="3">
        <v>2025</v>
      </c>
      <c r="C105" s="3">
        <v>9</v>
      </c>
      <c r="D105" s="3">
        <v>2</v>
      </c>
      <c r="E105" s="3">
        <v>6</v>
      </c>
      <c r="F105" s="5">
        <v>45906</v>
      </c>
      <c r="G105" s="3">
        <v>1846.9607000000001</v>
      </c>
    </row>
    <row r="106" spans="1:7" x14ac:dyDescent="0.3">
      <c r="A106" s="3">
        <v>57.028472999999998</v>
      </c>
      <c r="B106" s="3">
        <v>2025</v>
      </c>
      <c r="C106" s="3">
        <v>9</v>
      </c>
      <c r="D106" s="3">
        <v>3</v>
      </c>
      <c r="E106" s="3">
        <v>11</v>
      </c>
      <c r="F106" s="5">
        <v>45911</v>
      </c>
      <c r="G106" s="3">
        <v>1903.9891</v>
      </c>
    </row>
    <row r="107" spans="1:7" x14ac:dyDescent="0.3">
      <c r="A107" s="3">
        <v>52.184063000000002</v>
      </c>
      <c r="B107" s="3">
        <v>2025</v>
      </c>
      <c r="C107" s="3">
        <v>9</v>
      </c>
      <c r="D107" s="3">
        <v>4</v>
      </c>
      <c r="E107" s="3">
        <v>16</v>
      </c>
      <c r="F107" s="5">
        <v>45916</v>
      </c>
      <c r="G107" s="3">
        <v>1956.1732</v>
      </c>
    </row>
    <row r="108" spans="1:7" x14ac:dyDescent="0.3">
      <c r="A108" s="3">
        <v>59.124560000000002</v>
      </c>
      <c r="B108" s="3">
        <v>2025</v>
      </c>
      <c r="C108" s="3">
        <v>9</v>
      </c>
      <c r="D108" s="3">
        <v>5</v>
      </c>
      <c r="E108" s="3">
        <v>21</v>
      </c>
      <c r="F108" s="5">
        <v>45921</v>
      </c>
      <c r="G108" s="3">
        <v>2015.2977000000001</v>
      </c>
    </row>
    <row r="109" spans="1:7" x14ac:dyDescent="0.3">
      <c r="A109" s="3">
        <v>57.502459999999999</v>
      </c>
      <c r="B109" s="3">
        <v>2025</v>
      </c>
      <c r="C109" s="3">
        <v>9</v>
      </c>
      <c r="D109" s="3">
        <v>6</v>
      </c>
      <c r="E109" s="3">
        <v>26</v>
      </c>
      <c r="F109" s="5">
        <v>45926</v>
      </c>
      <c r="G109" s="3">
        <v>2072.8002999999999</v>
      </c>
    </row>
    <row r="110" spans="1:7" x14ac:dyDescent="0.3">
      <c r="A110" s="3">
        <v>14.331683999999999</v>
      </c>
      <c r="B110" s="3">
        <v>1991</v>
      </c>
      <c r="C110" s="3">
        <v>1</v>
      </c>
      <c r="D110" s="3">
        <v>1</v>
      </c>
      <c r="E110" s="3">
        <v>1</v>
      </c>
      <c r="F110" s="5">
        <v>45658</v>
      </c>
      <c r="G110" s="3">
        <v>14.331683999999999</v>
      </c>
    </row>
    <row r="111" spans="1:7" x14ac:dyDescent="0.3">
      <c r="A111" s="3">
        <v>14.56471</v>
      </c>
      <c r="B111" s="3">
        <v>1991</v>
      </c>
      <c r="C111" s="3">
        <v>1</v>
      </c>
      <c r="D111" s="3">
        <v>2</v>
      </c>
      <c r="E111" s="3">
        <v>6</v>
      </c>
      <c r="F111" s="5">
        <v>45663</v>
      </c>
      <c r="G111" s="3">
        <v>28.896393</v>
      </c>
    </row>
    <row r="112" spans="1:7" x14ac:dyDescent="0.3">
      <c r="A112" s="3">
        <v>10.498047</v>
      </c>
      <c r="B112" s="3">
        <v>1991</v>
      </c>
      <c r="C112" s="3">
        <v>1</v>
      </c>
      <c r="D112" s="3">
        <v>3</v>
      </c>
      <c r="E112" s="3">
        <v>11</v>
      </c>
      <c r="F112" s="5">
        <v>45668</v>
      </c>
      <c r="G112" s="3">
        <v>39.394440000000003</v>
      </c>
    </row>
    <row r="113" spans="1:7" x14ac:dyDescent="0.3">
      <c r="A113" s="3">
        <v>10.599316999999999</v>
      </c>
      <c r="B113" s="3">
        <v>1991</v>
      </c>
      <c r="C113" s="3">
        <v>1</v>
      </c>
      <c r="D113" s="3">
        <v>4</v>
      </c>
      <c r="E113" s="3">
        <v>16</v>
      </c>
      <c r="F113" s="5">
        <v>45673</v>
      </c>
      <c r="G113" s="3">
        <v>49.993760000000002</v>
      </c>
    </row>
    <row r="114" spans="1:7" x14ac:dyDescent="0.3">
      <c r="A114" s="3">
        <v>9.7497159999999994</v>
      </c>
      <c r="B114" s="3">
        <v>1991</v>
      </c>
      <c r="C114" s="3">
        <v>1</v>
      </c>
      <c r="D114" s="3">
        <v>5</v>
      </c>
      <c r="E114" s="3">
        <v>21</v>
      </c>
      <c r="F114" s="5">
        <v>45678</v>
      </c>
      <c r="G114" s="3">
        <v>59.743473000000002</v>
      </c>
    </row>
    <row r="115" spans="1:7" x14ac:dyDescent="0.3">
      <c r="A115" s="3">
        <v>8.0435789999999994</v>
      </c>
      <c r="B115" s="3">
        <v>1991</v>
      </c>
      <c r="C115" s="3">
        <v>1</v>
      </c>
      <c r="D115" s="3">
        <v>6</v>
      </c>
      <c r="E115" s="3">
        <v>26</v>
      </c>
      <c r="F115" s="5">
        <v>45683</v>
      </c>
      <c r="G115" s="3">
        <v>67.787049999999994</v>
      </c>
    </row>
    <row r="116" spans="1:7" x14ac:dyDescent="0.3">
      <c r="A116" s="3">
        <v>8.4454689999999992</v>
      </c>
      <c r="B116" s="3">
        <v>1991</v>
      </c>
      <c r="C116" s="3">
        <v>2</v>
      </c>
      <c r="D116" s="3">
        <v>1</v>
      </c>
      <c r="E116" s="3">
        <v>1</v>
      </c>
      <c r="F116" s="5">
        <v>45689</v>
      </c>
      <c r="G116" s="3">
        <v>76.232519999999994</v>
      </c>
    </row>
    <row r="117" spans="1:7" x14ac:dyDescent="0.3">
      <c r="A117" s="3">
        <v>8.741695</v>
      </c>
      <c r="B117" s="3">
        <v>1991</v>
      </c>
      <c r="C117" s="3">
        <v>2</v>
      </c>
      <c r="D117" s="3">
        <v>2</v>
      </c>
      <c r="E117" s="3">
        <v>6</v>
      </c>
      <c r="F117" s="5">
        <v>45694</v>
      </c>
      <c r="G117" s="3">
        <v>84.974209999999999</v>
      </c>
    </row>
    <row r="118" spans="1:7" x14ac:dyDescent="0.3">
      <c r="A118" s="3">
        <v>9.2340560000000007</v>
      </c>
      <c r="B118" s="3">
        <v>1991</v>
      </c>
      <c r="C118" s="3">
        <v>2</v>
      </c>
      <c r="D118" s="3">
        <v>3</v>
      </c>
      <c r="E118" s="3">
        <v>11</v>
      </c>
      <c r="F118" s="5">
        <v>45699</v>
      </c>
      <c r="G118" s="3">
        <v>94.208275</v>
      </c>
    </row>
    <row r="119" spans="1:7" x14ac:dyDescent="0.3">
      <c r="A119" s="3">
        <v>8.82179</v>
      </c>
      <c r="B119" s="3">
        <v>1991</v>
      </c>
      <c r="C119" s="3">
        <v>2</v>
      </c>
      <c r="D119" s="3">
        <v>4</v>
      </c>
      <c r="E119" s="3">
        <v>16</v>
      </c>
      <c r="F119" s="5">
        <v>45704</v>
      </c>
      <c r="G119" s="3">
        <v>103.03006000000001</v>
      </c>
    </row>
    <row r="120" spans="1:7" x14ac:dyDescent="0.3">
      <c r="A120" s="3">
        <v>7.0881604999999999</v>
      </c>
      <c r="B120" s="3">
        <v>1991</v>
      </c>
      <c r="C120" s="3">
        <v>2</v>
      </c>
      <c r="D120" s="3">
        <v>5</v>
      </c>
      <c r="E120" s="3">
        <v>21</v>
      </c>
      <c r="F120" s="5">
        <v>45709</v>
      </c>
      <c r="G120" s="3">
        <v>110.118225</v>
      </c>
    </row>
    <row r="121" spans="1:7" x14ac:dyDescent="0.3">
      <c r="A121" s="3">
        <v>5.2113990000000001</v>
      </c>
      <c r="B121" s="3">
        <v>1991</v>
      </c>
      <c r="C121" s="3">
        <v>2</v>
      </c>
      <c r="D121" s="3">
        <v>6</v>
      </c>
      <c r="E121" s="3">
        <v>26</v>
      </c>
      <c r="F121" s="5">
        <v>45714</v>
      </c>
      <c r="G121" s="3">
        <v>115.32962000000001</v>
      </c>
    </row>
    <row r="122" spans="1:7" x14ac:dyDescent="0.3">
      <c r="A122" s="3">
        <v>9.0188430000000004</v>
      </c>
      <c r="B122" s="3">
        <v>1991</v>
      </c>
      <c r="C122" s="3">
        <v>3</v>
      </c>
      <c r="D122" s="3">
        <v>1</v>
      </c>
      <c r="E122" s="3">
        <v>1</v>
      </c>
      <c r="F122" s="5">
        <v>45717</v>
      </c>
      <c r="G122" s="3">
        <v>124.348465</v>
      </c>
    </row>
    <row r="123" spans="1:7" x14ac:dyDescent="0.3">
      <c r="A123" s="3">
        <v>6.5476146000000002</v>
      </c>
      <c r="B123" s="3">
        <v>1991</v>
      </c>
      <c r="C123" s="3">
        <v>3</v>
      </c>
      <c r="D123" s="3">
        <v>2</v>
      </c>
      <c r="E123" s="3">
        <v>6</v>
      </c>
      <c r="F123" s="5">
        <v>45722</v>
      </c>
      <c r="G123" s="3">
        <v>130.89607000000001</v>
      </c>
    </row>
    <row r="124" spans="1:7" x14ac:dyDescent="0.3">
      <c r="A124" s="3">
        <v>7.5543930000000001</v>
      </c>
      <c r="B124" s="3">
        <v>1991</v>
      </c>
      <c r="C124" s="3">
        <v>3</v>
      </c>
      <c r="D124" s="3">
        <v>3</v>
      </c>
      <c r="E124" s="3">
        <v>11</v>
      </c>
      <c r="F124" s="5">
        <v>45727</v>
      </c>
      <c r="G124" s="3">
        <v>138.45047</v>
      </c>
    </row>
    <row r="125" spans="1:7" x14ac:dyDescent="0.3">
      <c r="A125" s="3">
        <v>10.259205</v>
      </c>
      <c r="B125" s="3">
        <v>1991</v>
      </c>
      <c r="C125" s="3">
        <v>3</v>
      </c>
      <c r="D125" s="3">
        <v>4</v>
      </c>
      <c r="E125" s="3">
        <v>16</v>
      </c>
      <c r="F125" s="5">
        <v>45732</v>
      </c>
      <c r="G125" s="3">
        <v>148.70966999999999</v>
      </c>
    </row>
    <row r="126" spans="1:7" x14ac:dyDescent="0.3">
      <c r="A126" s="3">
        <v>8.8252400000000009</v>
      </c>
      <c r="B126" s="3">
        <v>1991</v>
      </c>
      <c r="C126" s="3">
        <v>3</v>
      </c>
      <c r="D126" s="3">
        <v>5</v>
      </c>
      <c r="E126" s="3">
        <v>21</v>
      </c>
      <c r="F126" s="5">
        <v>45737</v>
      </c>
      <c r="G126" s="3">
        <v>157.53491</v>
      </c>
    </row>
    <row r="127" spans="1:7" x14ac:dyDescent="0.3">
      <c r="A127" s="3">
        <v>11.316477000000001</v>
      </c>
      <c r="B127" s="3">
        <v>1991</v>
      </c>
      <c r="C127" s="3">
        <v>3</v>
      </c>
      <c r="D127" s="3">
        <v>6</v>
      </c>
      <c r="E127" s="3">
        <v>26</v>
      </c>
      <c r="F127" s="5">
        <v>45742</v>
      </c>
      <c r="G127" s="3">
        <v>168.85140000000001</v>
      </c>
    </row>
    <row r="128" spans="1:7" x14ac:dyDescent="0.3">
      <c r="A128" s="3">
        <v>13.784653</v>
      </c>
      <c r="B128" s="3">
        <v>1991</v>
      </c>
      <c r="C128" s="3">
        <v>4</v>
      </c>
      <c r="D128" s="3">
        <v>1</v>
      </c>
      <c r="E128" s="3">
        <v>1</v>
      </c>
      <c r="F128" s="5">
        <v>45748</v>
      </c>
      <c r="G128" s="3">
        <v>182.63605000000001</v>
      </c>
    </row>
    <row r="129" spans="1:7" x14ac:dyDescent="0.3">
      <c r="A129" s="3">
        <v>18.133655999999998</v>
      </c>
      <c r="B129" s="3">
        <v>1991</v>
      </c>
      <c r="C129" s="3">
        <v>4</v>
      </c>
      <c r="D129" s="3">
        <v>2</v>
      </c>
      <c r="E129" s="3">
        <v>6</v>
      </c>
      <c r="F129" s="5">
        <v>45753</v>
      </c>
      <c r="G129" s="3">
        <v>200.7697</v>
      </c>
    </row>
    <row r="130" spans="1:7" x14ac:dyDescent="0.3">
      <c r="A130" s="3">
        <v>14.012309</v>
      </c>
      <c r="B130" s="3">
        <v>1991</v>
      </c>
      <c r="C130" s="3">
        <v>4</v>
      </c>
      <c r="D130" s="3">
        <v>3</v>
      </c>
      <c r="E130" s="3">
        <v>11</v>
      </c>
      <c r="F130" s="5">
        <v>45758</v>
      </c>
      <c r="G130" s="3">
        <v>214.78201000000001</v>
      </c>
    </row>
    <row r="131" spans="1:7" x14ac:dyDescent="0.3">
      <c r="A131" s="3">
        <v>16.865026</v>
      </c>
      <c r="B131" s="3">
        <v>1991</v>
      </c>
      <c r="C131" s="3">
        <v>4</v>
      </c>
      <c r="D131" s="3">
        <v>4</v>
      </c>
      <c r="E131" s="3">
        <v>16</v>
      </c>
      <c r="F131" s="5">
        <v>45763</v>
      </c>
      <c r="G131" s="3">
        <v>231.64703</v>
      </c>
    </row>
    <row r="132" spans="1:7" x14ac:dyDescent="0.3">
      <c r="A132" s="3">
        <v>32.86842</v>
      </c>
      <c r="B132" s="3">
        <v>1991</v>
      </c>
      <c r="C132" s="3">
        <v>4</v>
      </c>
      <c r="D132" s="3">
        <v>5</v>
      </c>
      <c r="E132" s="3">
        <v>21</v>
      </c>
      <c r="F132" s="5">
        <v>45768</v>
      </c>
      <c r="G132" s="3">
        <v>264.51544000000001</v>
      </c>
    </row>
    <row r="133" spans="1:7" x14ac:dyDescent="0.3">
      <c r="A133" s="3">
        <v>42.111977000000003</v>
      </c>
      <c r="B133" s="3">
        <v>1991</v>
      </c>
      <c r="C133" s="3">
        <v>4</v>
      </c>
      <c r="D133" s="3">
        <v>6</v>
      </c>
      <c r="E133" s="3">
        <v>26</v>
      </c>
      <c r="F133" s="5">
        <v>45773</v>
      </c>
      <c r="G133" s="3">
        <v>306.62743999999998</v>
      </c>
    </row>
    <row r="134" spans="1:7" x14ac:dyDescent="0.3">
      <c r="A134" s="3">
        <v>42.059685000000002</v>
      </c>
      <c r="B134" s="3">
        <v>1991</v>
      </c>
      <c r="C134" s="3">
        <v>5</v>
      </c>
      <c r="D134" s="3">
        <v>1</v>
      </c>
      <c r="E134" s="3">
        <v>1</v>
      </c>
      <c r="F134" s="5">
        <v>45778</v>
      </c>
      <c r="G134" s="3">
        <v>348.68713000000002</v>
      </c>
    </row>
    <row r="135" spans="1:7" x14ac:dyDescent="0.3">
      <c r="A135" s="3">
        <v>45.601883000000001</v>
      </c>
      <c r="B135" s="3">
        <v>1991</v>
      </c>
      <c r="C135" s="3">
        <v>5</v>
      </c>
      <c r="D135" s="3">
        <v>2</v>
      </c>
      <c r="E135" s="3">
        <v>6</v>
      </c>
      <c r="F135" s="5">
        <v>45783</v>
      </c>
      <c r="G135" s="3">
        <v>394.28899999999999</v>
      </c>
    </row>
    <row r="136" spans="1:7" x14ac:dyDescent="0.3">
      <c r="A136" s="3">
        <v>50.457782999999999</v>
      </c>
      <c r="B136" s="3">
        <v>1991</v>
      </c>
      <c r="C136" s="3">
        <v>5</v>
      </c>
      <c r="D136" s="3">
        <v>3</v>
      </c>
      <c r="E136" s="3">
        <v>11</v>
      </c>
      <c r="F136" s="5">
        <v>45788</v>
      </c>
      <c r="G136" s="3">
        <v>444.74680000000001</v>
      </c>
    </row>
    <row r="137" spans="1:7" x14ac:dyDescent="0.3">
      <c r="A137" s="3">
        <v>60.332332999999998</v>
      </c>
      <c r="B137" s="3">
        <v>1991</v>
      </c>
      <c r="C137" s="3">
        <v>5</v>
      </c>
      <c r="D137" s="3">
        <v>4</v>
      </c>
      <c r="E137" s="3">
        <v>16</v>
      </c>
      <c r="F137" s="5">
        <v>45793</v>
      </c>
      <c r="G137" s="3">
        <v>505.07909999999998</v>
      </c>
    </row>
    <row r="138" spans="1:7" x14ac:dyDescent="0.3">
      <c r="A138" s="3">
        <v>55.695149999999998</v>
      </c>
      <c r="B138" s="3">
        <v>1991</v>
      </c>
      <c r="C138" s="3">
        <v>5</v>
      </c>
      <c r="D138" s="3">
        <v>5</v>
      </c>
      <c r="E138" s="3">
        <v>21</v>
      </c>
      <c r="F138" s="5">
        <v>45798</v>
      </c>
      <c r="G138" s="3">
        <v>560.77430000000004</v>
      </c>
    </row>
    <row r="139" spans="1:7" x14ac:dyDescent="0.3">
      <c r="A139" s="3">
        <v>70.140854000000004</v>
      </c>
      <c r="B139" s="3">
        <v>1991</v>
      </c>
      <c r="C139" s="3">
        <v>5</v>
      </c>
      <c r="D139" s="3">
        <v>6</v>
      </c>
      <c r="E139" s="3">
        <v>26</v>
      </c>
      <c r="F139" s="5">
        <v>45803</v>
      </c>
      <c r="G139" s="3">
        <v>630.91510000000005</v>
      </c>
    </row>
    <row r="140" spans="1:7" x14ac:dyDescent="0.3">
      <c r="A140" s="3">
        <v>53.365290000000002</v>
      </c>
      <c r="B140" s="3">
        <v>1991</v>
      </c>
      <c r="C140" s="3">
        <v>6</v>
      </c>
      <c r="D140" s="3">
        <v>1</v>
      </c>
      <c r="E140" s="3">
        <v>1</v>
      </c>
      <c r="F140" s="5">
        <v>45809</v>
      </c>
      <c r="G140" s="3">
        <v>684.28039999999999</v>
      </c>
    </row>
    <row r="141" spans="1:7" x14ac:dyDescent="0.3">
      <c r="A141" s="3">
        <v>50.324066000000002</v>
      </c>
      <c r="B141" s="3">
        <v>1991</v>
      </c>
      <c r="C141" s="3">
        <v>6</v>
      </c>
      <c r="D141" s="3">
        <v>2</v>
      </c>
      <c r="E141" s="3">
        <v>6</v>
      </c>
      <c r="F141" s="5">
        <v>45814</v>
      </c>
      <c r="G141" s="3">
        <v>734.60450000000003</v>
      </c>
    </row>
    <row r="142" spans="1:7" x14ac:dyDescent="0.3">
      <c r="A142" s="3">
        <v>54.202564000000002</v>
      </c>
      <c r="B142" s="3">
        <v>1991</v>
      </c>
      <c r="C142" s="3">
        <v>6</v>
      </c>
      <c r="D142" s="3">
        <v>3</v>
      </c>
      <c r="E142" s="3">
        <v>11</v>
      </c>
      <c r="F142" s="5">
        <v>45819</v>
      </c>
      <c r="G142" s="3">
        <v>788.80700000000002</v>
      </c>
    </row>
    <row r="143" spans="1:7" x14ac:dyDescent="0.3">
      <c r="A143" s="3">
        <v>52.986739999999998</v>
      </c>
      <c r="B143" s="3">
        <v>1991</v>
      </c>
      <c r="C143" s="3">
        <v>6</v>
      </c>
      <c r="D143" s="3">
        <v>4</v>
      </c>
      <c r="E143" s="3">
        <v>16</v>
      </c>
      <c r="F143" s="5">
        <v>45824</v>
      </c>
      <c r="G143" s="3">
        <v>841.79376000000002</v>
      </c>
    </row>
    <row r="144" spans="1:7" x14ac:dyDescent="0.3">
      <c r="A144" s="3">
        <v>54.639823999999997</v>
      </c>
      <c r="B144" s="3">
        <v>1991</v>
      </c>
      <c r="C144" s="3">
        <v>6</v>
      </c>
      <c r="D144" s="3">
        <v>5</v>
      </c>
      <c r="E144" s="3">
        <v>21</v>
      </c>
      <c r="F144" s="5">
        <v>45829</v>
      </c>
      <c r="G144" s="3">
        <v>896.43359999999996</v>
      </c>
    </row>
    <row r="145" spans="1:7" x14ac:dyDescent="0.3">
      <c r="A145" s="3">
        <v>53.125689999999999</v>
      </c>
      <c r="B145" s="3">
        <v>1991</v>
      </c>
      <c r="C145" s="3">
        <v>6</v>
      </c>
      <c r="D145" s="3">
        <v>6</v>
      </c>
      <c r="E145" s="3">
        <v>26</v>
      </c>
      <c r="F145" s="5">
        <v>45834</v>
      </c>
      <c r="G145" s="3">
        <v>949.55926999999997</v>
      </c>
    </row>
    <row r="146" spans="1:7" x14ac:dyDescent="0.3">
      <c r="A146" s="3">
        <v>46.782573999999997</v>
      </c>
      <c r="B146" s="3">
        <v>1991</v>
      </c>
      <c r="C146" s="3">
        <v>7</v>
      </c>
      <c r="D146" s="3">
        <v>1</v>
      </c>
      <c r="E146" s="3">
        <v>1</v>
      </c>
      <c r="F146" s="5">
        <v>45839</v>
      </c>
      <c r="G146" s="3">
        <v>996.34186</v>
      </c>
    </row>
    <row r="147" spans="1:7" x14ac:dyDescent="0.3">
      <c r="A147" s="3">
        <v>47.738422</v>
      </c>
      <c r="B147" s="3">
        <v>1991</v>
      </c>
      <c r="C147" s="3">
        <v>7</v>
      </c>
      <c r="D147" s="3">
        <v>2</v>
      </c>
      <c r="E147" s="3">
        <v>6</v>
      </c>
      <c r="F147" s="5">
        <v>45844</v>
      </c>
      <c r="G147" s="3">
        <v>1044.0803000000001</v>
      </c>
    </row>
    <row r="148" spans="1:7" x14ac:dyDescent="0.3">
      <c r="A148" s="3">
        <v>48.982067000000001</v>
      </c>
      <c r="B148" s="3">
        <v>1991</v>
      </c>
      <c r="C148" s="3">
        <v>7</v>
      </c>
      <c r="D148" s="3">
        <v>3</v>
      </c>
      <c r="E148" s="3">
        <v>11</v>
      </c>
      <c r="F148" s="5">
        <v>45849</v>
      </c>
      <c r="G148" s="3">
        <v>1093.0624</v>
      </c>
    </row>
    <row r="149" spans="1:7" x14ac:dyDescent="0.3">
      <c r="A149" s="3">
        <v>45.302653999999997</v>
      </c>
      <c r="B149" s="3">
        <v>1991</v>
      </c>
      <c r="C149" s="3">
        <v>7</v>
      </c>
      <c r="D149" s="3">
        <v>4</v>
      </c>
      <c r="E149" s="3">
        <v>16</v>
      </c>
      <c r="F149" s="5">
        <v>45854</v>
      </c>
      <c r="G149" s="3">
        <v>1138.365</v>
      </c>
    </row>
    <row r="150" spans="1:7" x14ac:dyDescent="0.3">
      <c r="A150" s="3">
        <v>45.867170000000002</v>
      </c>
      <c r="B150" s="3">
        <v>1991</v>
      </c>
      <c r="C150" s="3">
        <v>7</v>
      </c>
      <c r="D150" s="3">
        <v>5</v>
      </c>
      <c r="E150" s="3">
        <v>21</v>
      </c>
      <c r="F150" s="5">
        <v>45859</v>
      </c>
      <c r="G150" s="3">
        <v>1184.2321999999999</v>
      </c>
    </row>
    <row r="151" spans="1:7" x14ac:dyDescent="0.3">
      <c r="A151" s="3">
        <v>62.54598</v>
      </c>
      <c r="B151" s="3">
        <v>1991</v>
      </c>
      <c r="C151" s="3">
        <v>7</v>
      </c>
      <c r="D151" s="3">
        <v>6</v>
      </c>
      <c r="E151" s="3">
        <v>26</v>
      </c>
      <c r="F151" s="5">
        <v>45864</v>
      </c>
      <c r="G151" s="3">
        <v>1246.7782</v>
      </c>
    </row>
    <row r="152" spans="1:7" x14ac:dyDescent="0.3">
      <c r="A152" s="3">
        <v>45.043132999999997</v>
      </c>
      <c r="B152" s="3">
        <v>1991</v>
      </c>
      <c r="C152" s="3">
        <v>8</v>
      </c>
      <c r="D152" s="3">
        <v>1</v>
      </c>
      <c r="E152" s="3">
        <v>1</v>
      </c>
      <c r="F152" s="5">
        <v>45870</v>
      </c>
      <c r="G152" s="3">
        <v>1291.8213000000001</v>
      </c>
    </row>
    <row r="153" spans="1:7" x14ac:dyDescent="0.3">
      <c r="A153" s="3">
        <v>53.149116999999997</v>
      </c>
      <c r="B153" s="3">
        <v>1991</v>
      </c>
      <c r="C153" s="3">
        <v>8</v>
      </c>
      <c r="D153" s="3">
        <v>2</v>
      </c>
      <c r="E153" s="3">
        <v>6</v>
      </c>
      <c r="F153" s="5">
        <v>45875</v>
      </c>
      <c r="G153" s="3">
        <v>1344.9704999999999</v>
      </c>
    </row>
    <row r="154" spans="1:7" x14ac:dyDescent="0.3">
      <c r="A154" s="3">
        <v>55.673830000000002</v>
      </c>
      <c r="B154" s="3">
        <v>1991</v>
      </c>
      <c r="C154" s="3">
        <v>8</v>
      </c>
      <c r="D154" s="3">
        <v>3</v>
      </c>
      <c r="E154" s="3">
        <v>11</v>
      </c>
      <c r="F154" s="5">
        <v>45880</v>
      </c>
      <c r="G154" s="3">
        <v>1400.6442999999999</v>
      </c>
    </row>
    <row r="155" spans="1:7" x14ac:dyDescent="0.3">
      <c r="A155" s="3">
        <v>51.891243000000003</v>
      </c>
      <c r="B155" s="3">
        <v>1991</v>
      </c>
      <c r="C155" s="3">
        <v>8</v>
      </c>
      <c r="D155" s="3">
        <v>4</v>
      </c>
      <c r="E155" s="3">
        <v>16</v>
      </c>
      <c r="F155" s="5">
        <v>45885</v>
      </c>
      <c r="G155" s="3">
        <v>1452.5355</v>
      </c>
    </row>
    <row r="156" spans="1:7" x14ac:dyDescent="0.3">
      <c r="A156" s="3">
        <v>55.258389999999999</v>
      </c>
      <c r="B156" s="3">
        <v>1991</v>
      </c>
      <c r="C156" s="3">
        <v>8</v>
      </c>
      <c r="D156" s="3">
        <v>5</v>
      </c>
      <c r="E156" s="3">
        <v>21</v>
      </c>
      <c r="F156" s="5">
        <v>45890</v>
      </c>
      <c r="G156" s="3">
        <v>1507.7937999999999</v>
      </c>
    </row>
    <row r="157" spans="1:7" x14ac:dyDescent="0.3">
      <c r="A157" s="3">
        <v>65.58399</v>
      </c>
      <c r="B157" s="3">
        <v>1991</v>
      </c>
      <c r="C157" s="3">
        <v>8</v>
      </c>
      <c r="D157" s="3">
        <v>6</v>
      </c>
      <c r="E157" s="3">
        <v>26</v>
      </c>
      <c r="F157" s="5">
        <v>45895</v>
      </c>
      <c r="G157" s="3">
        <v>1573.3778</v>
      </c>
    </row>
    <row r="158" spans="1:7" x14ac:dyDescent="0.3">
      <c r="A158" s="3">
        <v>54.274096999999998</v>
      </c>
      <c r="B158" s="3">
        <v>1991</v>
      </c>
      <c r="C158" s="3">
        <v>9</v>
      </c>
      <c r="D158" s="3">
        <v>1</v>
      </c>
      <c r="E158" s="3">
        <v>1</v>
      </c>
      <c r="F158" s="5">
        <v>45901</v>
      </c>
      <c r="G158" s="3">
        <v>1627.652</v>
      </c>
    </row>
    <row r="159" spans="1:7" x14ac:dyDescent="0.3">
      <c r="A159" s="3">
        <v>54.068072999999998</v>
      </c>
      <c r="B159" s="3">
        <v>1991</v>
      </c>
      <c r="C159" s="3">
        <v>9</v>
      </c>
      <c r="D159" s="3">
        <v>2</v>
      </c>
      <c r="E159" s="3">
        <v>6</v>
      </c>
      <c r="F159" s="5">
        <v>45906</v>
      </c>
      <c r="G159" s="3">
        <v>1681.72</v>
      </c>
    </row>
    <row r="160" spans="1:7" x14ac:dyDescent="0.3">
      <c r="A160" s="3">
        <v>62.027008000000002</v>
      </c>
      <c r="B160" s="3">
        <v>1991</v>
      </c>
      <c r="C160" s="3">
        <v>9</v>
      </c>
      <c r="D160" s="3">
        <v>3</v>
      </c>
      <c r="E160" s="3">
        <v>11</v>
      </c>
      <c r="F160" s="5">
        <v>45911</v>
      </c>
      <c r="G160" s="3">
        <v>1743.7471</v>
      </c>
    </row>
    <row r="161" spans="1:7" x14ac:dyDescent="0.3">
      <c r="A161" s="3">
        <v>60.091434</v>
      </c>
      <c r="B161" s="3">
        <v>1991</v>
      </c>
      <c r="C161" s="3">
        <v>9</v>
      </c>
      <c r="D161" s="3">
        <v>4</v>
      </c>
      <c r="E161" s="3">
        <v>16</v>
      </c>
      <c r="F161" s="5">
        <v>45916</v>
      </c>
      <c r="G161" s="3">
        <v>1803.8385000000001</v>
      </c>
    </row>
    <row r="162" spans="1:7" x14ac:dyDescent="0.3">
      <c r="A162" s="3">
        <v>61.807850000000002</v>
      </c>
      <c r="B162" s="3">
        <v>1991</v>
      </c>
      <c r="C162" s="3">
        <v>9</v>
      </c>
      <c r="D162" s="3">
        <v>5</v>
      </c>
      <c r="E162" s="3">
        <v>21</v>
      </c>
      <c r="F162" s="5">
        <v>45921</v>
      </c>
      <c r="G162" s="3">
        <v>1865.6464000000001</v>
      </c>
    </row>
    <row r="163" spans="1:7" x14ac:dyDescent="0.3">
      <c r="A163" s="3">
        <v>60.098236</v>
      </c>
      <c r="B163" s="3">
        <v>1991</v>
      </c>
      <c r="C163" s="3">
        <v>9</v>
      </c>
      <c r="D163" s="3">
        <v>6</v>
      </c>
      <c r="E163" s="3">
        <v>26</v>
      </c>
      <c r="F163" s="5">
        <v>45926</v>
      </c>
      <c r="G163" s="3">
        <v>1925.7445</v>
      </c>
    </row>
    <row r="164" spans="1:7" x14ac:dyDescent="0.3">
      <c r="F164" s="5"/>
    </row>
    <row r="165" spans="1:7" x14ac:dyDescent="0.3">
      <c r="F165" s="5"/>
    </row>
    <row r="166" spans="1:7" x14ac:dyDescent="0.3">
      <c r="F166" s="5"/>
    </row>
    <row r="167" spans="1:7" x14ac:dyDescent="0.3">
      <c r="F167" s="5"/>
    </row>
    <row r="168" spans="1:7" x14ac:dyDescent="0.3">
      <c r="F168" s="5"/>
    </row>
    <row r="169" spans="1:7" x14ac:dyDescent="0.3">
      <c r="F169" s="5"/>
    </row>
    <row r="170" spans="1:7" x14ac:dyDescent="0.3">
      <c r="F170" s="5"/>
    </row>
    <row r="171" spans="1:7" x14ac:dyDescent="0.3">
      <c r="F171" s="5"/>
    </row>
    <row r="172" spans="1:7" x14ac:dyDescent="0.3">
      <c r="F172" s="5"/>
    </row>
    <row r="173" spans="1:7" x14ac:dyDescent="0.3">
      <c r="F173" s="5"/>
    </row>
    <row r="174" spans="1:7" x14ac:dyDescent="0.3">
      <c r="F174" s="5"/>
    </row>
    <row r="175" spans="1:7" x14ac:dyDescent="0.3">
      <c r="F175" s="5"/>
    </row>
    <row r="176" spans="1:7" x14ac:dyDescent="0.3">
      <c r="F176" s="5"/>
    </row>
    <row r="177" spans="6:6" x14ac:dyDescent="0.3">
      <c r="F177" s="5"/>
    </row>
    <row r="178" spans="6:6" x14ac:dyDescent="0.3">
      <c r="F178" s="5"/>
    </row>
    <row r="179" spans="6:6" x14ac:dyDescent="0.3">
      <c r="F179" s="5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5"/>
    </row>
    <row r="184" spans="6:6" x14ac:dyDescent="0.3">
      <c r="F184" s="5"/>
    </row>
    <row r="185" spans="6:6" x14ac:dyDescent="0.3">
      <c r="F185" s="5"/>
    </row>
    <row r="186" spans="6:6" x14ac:dyDescent="0.3">
      <c r="F186" s="5"/>
    </row>
    <row r="187" spans="6:6" x14ac:dyDescent="0.3">
      <c r="F187" s="5"/>
    </row>
    <row r="188" spans="6:6" x14ac:dyDescent="0.3">
      <c r="F188" s="5"/>
    </row>
    <row r="189" spans="6:6" x14ac:dyDescent="0.3">
      <c r="F189" s="5"/>
    </row>
    <row r="190" spans="6:6" x14ac:dyDescent="0.3">
      <c r="F190" s="5"/>
    </row>
    <row r="191" spans="6:6" x14ac:dyDescent="0.3">
      <c r="F191" s="5"/>
    </row>
    <row r="192" spans="6:6" x14ac:dyDescent="0.3">
      <c r="F192" s="5"/>
    </row>
    <row r="193" spans="6:6" x14ac:dyDescent="0.3">
      <c r="F193" s="5"/>
    </row>
    <row r="194" spans="6:6" x14ac:dyDescent="0.3">
      <c r="F194" s="5"/>
    </row>
    <row r="195" spans="6:6" x14ac:dyDescent="0.3">
      <c r="F195" s="5"/>
    </row>
    <row r="196" spans="6:6" x14ac:dyDescent="0.3">
      <c r="F196" s="5"/>
    </row>
    <row r="197" spans="6:6" x14ac:dyDescent="0.3">
      <c r="F197" s="5"/>
    </row>
    <row r="198" spans="6:6" x14ac:dyDescent="0.3">
      <c r="F198" s="5"/>
    </row>
    <row r="199" spans="6:6" x14ac:dyDescent="0.3">
      <c r="F199" s="5"/>
    </row>
    <row r="200" spans="6:6" x14ac:dyDescent="0.3">
      <c r="F200" s="5"/>
    </row>
    <row r="201" spans="6:6" x14ac:dyDescent="0.3">
      <c r="F201" s="5"/>
    </row>
    <row r="202" spans="6:6" x14ac:dyDescent="0.3">
      <c r="F202" s="5"/>
    </row>
    <row r="203" spans="6:6" x14ac:dyDescent="0.3">
      <c r="F203" s="5"/>
    </row>
    <row r="204" spans="6:6" x14ac:dyDescent="0.3">
      <c r="F204" s="5"/>
    </row>
    <row r="205" spans="6:6" x14ac:dyDescent="0.3">
      <c r="F205" s="5"/>
    </row>
    <row r="206" spans="6:6" x14ac:dyDescent="0.3">
      <c r="F206" s="5"/>
    </row>
    <row r="207" spans="6:6" x14ac:dyDescent="0.3">
      <c r="F207" s="5"/>
    </row>
    <row r="208" spans="6:6" x14ac:dyDescent="0.3">
      <c r="F208" s="5"/>
    </row>
    <row r="209" spans="6:6" x14ac:dyDescent="0.3">
      <c r="F209" s="5"/>
    </row>
    <row r="210" spans="6:6" x14ac:dyDescent="0.3">
      <c r="F210" s="5"/>
    </row>
    <row r="211" spans="6:6" x14ac:dyDescent="0.3">
      <c r="F211" s="5"/>
    </row>
    <row r="212" spans="6:6" x14ac:dyDescent="0.3">
      <c r="F212" s="5"/>
    </row>
    <row r="213" spans="6:6" x14ac:dyDescent="0.3">
      <c r="F213" s="5"/>
    </row>
    <row r="214" spans="6:6" x14ac:dyDescent="0.3">
      <c r="F214" s="5"/>
    </row>
    <row r="215" spans="6:6" x14ac:dyDescent="0.3">
      <c r="F215" s="5"/>
    </row>
    <row r="216" spans="6:6" x14ac:dyDescent="0.3">
      <c r="F216" s="5"/>
    </row>
    <row r="217" spans="6:6" x14ac:dyDescent="0.3">
      <c r="F2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90C8-F874-4A1B-874A-043689354636}">
  <dimension ref="A1:D406"/>
  <sheetViews>
    <sheetView tabSelected="1" workbookViewId="0">
      <selection activeCell="H395" sqref="H395"/>
    </sheetView>
  </sheetViews>
  <sheetFormatPr baseColWidth="10" defaultColWidth="8.85546875" defaultRowHeight="18.75" x14ac:dyDescent="0.25"/>
  <cols>
    <col min="1" max="1" width="14.42578125" style="1" bestFit="1" customWidth="1"/>
    <col min="2" max="2" width="6.7109375" style="1" bestFit="1" customWidth="1"/>
    <col min="3" max="3" width="17.28515625" style="1" bestFit="1" customWidth="1"/>
    <col min="4" max="4" width="8.140625" style="1" bestFit="1" customWidth="1"/>
    <col min="5" max="16384" width="8.85546875" style="1"/>
  </cols>
  <sheetData>
    <row r="1" spans="1:4" x14ac:dyDescent="0.25">
      <c r="A1" s="1" t="s">
        <v>35</v>
      </c>
      <c r="B1" s="1" t="s">
        <v>31</v>
      </c>
      <c r="C1" s="1" t="s">
        <v>34</v>
      </c>
      <c r="D1" s="1" t="s">
        <v>30</v>
      </c>
    </row>
    <row r="2" spans="1:4" x14ac:dyDescent="0.25">
      <c r="A2" s="1">
        <v>53.862403999999998</v>
      </c>
      <c r="B2" s="1">
        <v>1981</v>
      </c>
      <c r="C2" s="1">
        <v>-12.679047000000001</v>
      </c>
      <c r="D2" s="1" t="s">
        <v>0</v>
      </c>
    </row>
    <row r="3" spans="1:4" x14ac:dyDescent="0.25">
      <c r="A3" s="1">
        <v>109.52607</v>
      </c>
      <c r="B3" s="1">
        <v>1982</v>
      </c>
      <c r="C3" s="1">
        <v>42.98462</v>
      </c>
      <c r="D3" s="1" t="s">
        <v>0</v>
      </c>
    </row>
    <row r="4" spans="1:4" x14ac:dyDescent="0.25">
      <c r="A4" s="1">
        <v>37.068626000000002</v>
      </c>
      <c r="B4" s="1">
        <v>1983</v>
      </c>
      <c r="C4" s="1">
        <v>-29.472823999999999</v>
      </c>
      <c r="D4" s="1" t="s">
        <v>0</v>
      </c>
    </row>
    <row r="5" spans="1:4" x14ac:dyDescent="0.25">
      <c r="A5" s="1">
        <v>72.829350000000005</v>
      </c>
      <c r="B5" s="1">
        <v>1984</v>
      </c>
      <c r="C5" s="1">
        <v>6.287903</v>
      </c>
      <c r="D5" s="1" t="s">
        <v>0</v>
      </c>
    </row>
    <row r="6" spans="1:4" x14ac:dyDescent="0.25">
      <c r="A6" s="1">
        <v>39.770695000000003</v>
      </c>
      <c r="B6" s="1">
        <v>1985</v>
      </c>
      <c r="C6" s="1">
        <v>-26.770755999999999</v>
      </c>
      <c r="D6" s="1" t="s">
        <v>0</v>
      </c>
    </row>
    <row r="7" spans="1:4" x14ac:dyDescent="0.25">
      <c r="A7" s="1">
        <v>54.600383999999998</v>
      </c>
      <c r="B7" s="1">
        <v>1986</v>
      </c>
      <c r="C7" s="1">
        <v>-11.941067</v>
      </c>
      <c r="D7" s="1" t="s">
        <v>0</v>
      </c>
    </row>
    <row r="8" spans="1:4" x14ac:dyDescent="0.25">
      <c r="A8" s="1">
        <v>42.631515999999998</v>
      </c>
      <c r="B8" s="1">
        <v>1987</v>
      </c>
      <c r="C8" s="1">
        <v>-23.909935000000001</v>
      </c>
      <c r="D8" s="1" t="s">
        <v>0</v>
      </c>
    </row>
    <row r="9" spans="1:4" x14ac:dyDescent="0.25">
      <c r="A9" s="1">
        <v>52.790140000000001</v>
      </c>
      <c r="B9" s="1">
        <v>1988</v>
      </c>
      <c r="C9" s="1">
        <v>-13.751312</v>
      </c>
      <c r="D9" s="1" t="s">
        <v>0</v>
      </c>
    </row>
    <row r="10" spans="1:4" x14ac:dyDescent="0.25">
      <c r="A10" s="1">
        <v>56.183880000000002</v>
      </c>
      <c r="B10" s="1">
        <v>1989</v>
      </c>
      <c r="C10" s="1">
        <v>-10.357571</v>
      </c>
      <c r="D10" s="1" t="s">
        <v>0</v>
      </c>
    </row>
    <row r="11" spans="1:4" x14ac:dyDescent="0.25">
      <c r="A11" s="1">
        <v>90.713509999999999</v>
      </c>
      <c r="B11" s="1">
        <v>1990</v>
      </c>
      <c r="C11" s="1">
        <v>24.172058</v>
      </c>
      <c r="D11" s="1" t="s">
        <v>0</v>
      </c>
    </row>
    <row r="12" spans="1:4" x14ac:dyDescent="0.25">
      <c r="A12" s="1">
        <v>36.689667</v>
      </c>
      <c r="B12" s="1">
        <v>1991</v>
      </c>
      <c r="C12" s="1">
        <v>-29.851783999999999</v>
      </c>
      <c r="D12" s="1" t="s">
        <v>0</v>
      </c>
    </row>
    <row r="13" spans="1:4" x14ac:dyDescent="0.25">
      <c r="A13" s="1">
        <v>29.419882000000001</v>
      </c>
      <c r="B13" s="1">
        <v>1992</v>
      </c>
      <c r="C13" s="1">
        <v>-37.121566999999999</v>
      </c>
      <c r="D13" s="1" t="s">
        <v>0</v>
      </c>
    </row>
    <row r="14" spans="1:4" x14ac:dyDescent="0.25">
      <c r="A14" s="1">
        <v>121.8254</v>
      </c>
      <c r="B14" s="1">
        <v>1993</v>
      </c>
      <c r="C14" s="1">
        <v>55.283949999999997</v>
      </c>
      <c r="D14" s="1" t="s">
        <v>0</v>
      </c>
    </row>
    <row r="15" spans="1:4" x14ac:dyDescent="0.25">
      <c r="A15" s="1">
        <v>42.493744</v>
      </c>
      <c r="B15" s="1">
        <v>1994</v>
      </c>
      <c r="C15" s="1">
        <v>-24.047706999999999</v>
      </c>
      <c r="D15" s="1" t="s">
        <v>0</v>
      </c>
    </row>
    <row r="16" spans="1:4" x14ac:dyDescent="0.25">
      <c r="A16" s="1">
        <v>39.743155999999999</v>
      </c>
      <c r="B16" s="1">
        <v>1995</v>
      </c>
      <c r="C16" s="1">
        <v>-26.798293999999999</v>
      </c>
      <c r="D16" s="1" t="s">
        <v>0</v>
      </c>
    </row>
    <row r="17" spans="1:4" x14ac:dyDescent="0.25">
      <c r="A17" s="1">
        <v>172.15523999999999</v>
      </c>
      <c r="B17" s="1">
        <v>1996</v>
      </c>
      <c r="C17" s="1">
        <v>105.61378999999999</v>
      </c>
      <c r="D17" s="1" t="s">
        <v>0</v>
      </c>
    </row>
    <row r="18" spans="1:4" x14ac:dyDescent="0.25">
      <c r="A18" s="1">
        <v>58.738399999999999</v>
      </c>
      <c r="B18" s="1">
        <v>1997</v>
      </c>
      <c r="C18" s="1">
        <v>-7.803051</v>
      </c>
      <c r="D18" s="1" t="s">
        <v>0</v>
      </c>
    </row>
    <row r="19" spans="1:4" x14ac:dyDescent="0.25">
      <c r="A19" s="1">
        <v>23.370730999999999</v>
      </c>
      <c r="B19" s="1">
        <v>1998</v>
      </c>
      <c r="C19" s="1">
        <v>-43.170720000000003</v>
      </c>
      <c r="D19" s="1" t="s">
        <v>0</v>
      </c>
    </row>
    <row r="20" spans="1:4" x14ac:dyDescent="0.25">
      <c r="A20" s="1">
        <v>103.20663</v>
      </c>
      <c r="B20" s="1">
        <v>1999</v>
      </c>
      <c r="C20" s="1">
        <v>36.665176000000002</v>
      </c>
      <c r="D20" s="1" t="s">
        <v>0</v>
      </c>
    </row>
    <row r="21" spans="1:4" x14ac:dyDescent="0.25">
      <c r="A21" s="1">
        <v>83.246099999999998</v>
      </c>
      <c r="B21" s="1">
        <v>2000</v>
      </c>
      <c r="C21" s="1">
        <v>16.704650000000001</v>
      </c>
      <c r="D21" s="1" t="s">
        <v>0</v>
      </c>
    </row>
    <row r="22" spans="1:4" x14ac:dyDescent="0.25">
      <c r="A22" s="1">
        <v>73.203800000000001</v>
      </c>
      <c r="B22" s="1">
        <v>2001</v>
      </c>
      <c r="C22" s="1">
        <v>6.6623460000000003</v>
      </c>
      <c r="D22" s="1" t="s">
        <v>0</v>
      </c>
    </row>
    <row r="23" spans="1:4" x14ac:dyDescent="0.25">
      <c r="A23" s="1">
        <v>79.051770000000005</v>
      </c>
      <c r="B23" s="1">
        <v>2002</v>
      </c>
      <c r="C23" s="1">
        <v>12.510323</v>
      </c>
      <c r="D23" s="1" t="s">
        <v>0</v>
      </c>
    </row>
    <row r="24" spans="1:4" x14ac:dyDescent="0.25">
      <c r="A24" s="1">
        <v>27.616893999999998</v>
      </c>
      <c r="B24" s="1">
        <v>2003</v>
      </c>
      <c r="C24" s="1">
        <v>-38.924557</v>
      </c>
      <c r="D24" s="1" t="s">
        <v>0</v>
      </c>
    </row>
    <row r="25" spans="1:4" x14ac:dyDescent="0.25">
      <c r="A25" s="1">
        <v>40.249504000000002</v>
      </c>
      <c r="B25" s="1">
        <v>2004</v>
      </c>
      <c r="C25" s="1">
        <v>-26.291945999999999</v>
      </c>
      <c r="D25" s="1" t="s">
        <v>0</v>
      </c>
    </row>
    <row r="26" spans="1:4" x14ac:dyDescent="0.25">
      <c r="A26" s="1">
        <v>101.869484</v>
      </c>
      <c r="B26" s="1">
        <v>2005</v>
      </c>
      <c r="C26" s="1">
        <v>35.328032999999998</v>
      </c>
      <c r="D26" s="1" t="s">
        <v>0</v>
      </c>
    </row>
    <row r="27" spans="1:4" x14ac:dyDescent="0.25">
      <c r="A27" s="1">
        <v>112.162254</v>
      </c>
      <c r="B27" s="1">
        <v>2006</v>
      </c>
      <c r="C27" s="1">
        <v>45.620804</v>
      </c>
      <c r="D27" s="1" t="s">
        <v>0</v>
      </c>
    </row>
    <row r="28" spans="1:4" x14ac:dyDescent="0.25">
      <c r="A28" s="1">
        <v>43.749865999999997</v>
      </c>
      <c r="B28" s="1">
        <v>2007</v>
      </c>
      <c r="C28" s="1">
        <v>-22.791584</v>
      </c>
      <c r="D28" s="1" t="s">
        <v>0</v>
      </c>
    </row>
    <row r="29" spans="1:4" x14ac:dyDescent="0.25">
      <c r="A29" s="1">
        <v>41.308052000000004</v>
      </c>
      <c r="B29" s="1">
        <v>2008</v>
      </c>
      <c r="C29" s="1">
        <v>-25.233398000000001</v>
      </c>
      <c r="D29" s="1" t="s">
        <v>0</v>
      </c>
    </row>
    <row r="30" spans="1:4" x14ac:dyDescent="0.25">
      <c r="A30" s="1">
        <v>77.664709999999999</v>
      </c>
      <c r="B30" s="1">
        <v>2009</v>
      </c>
      <c r="C30" s="1">
        <v>11.123260500000001</v>
      </c>
      <c r="D30" s="1" t="s">
        <v>0</v>
      </c>
    </row>
    <row r="31" spans="1:4" x14ac:dyDescent="0.25">
      <c r="A31" s="1">
        <v>44.908946999999998</v>
      </c>
      <c r="B31" s="1">
        <v>2010</v>
      </c>
      <c r="C31" s="1">
        <v>-21.632504000000001</v>
      </c>
      <c r="D31" s="1" t="s">
        <v>0</v>
      </c>
    </row>
    <row r="32" spans="1:4" x14ac:dyDescent="0.25">
      <c r="A32" s="1">
        <v>84.654754999999994</v>
      </c>
      <c r="B32" s="1">
        <v>2011</v>
      </c>
      <c r="C32" s="1">
        <v>18.113303999999999</v>
      </c>
      <c r="D32" s="1" t="s">
        <v>0</v>
      </c>
    </row>
    <row r="33" spans="1:4" x14ac:dyDescent="0.25">
      <c r="A33" s="1">
        <v>39.380093000000002</v>
      </c>
      <c r="B33" s="1">
        <v>2012</v>
      </c>
      <c r="C33" s="1">
        <v>-27.161358</v>
      </c>
      <c r="D33" s="1" t="s">
        <v>0</v>
      </c>
    </row>
    <row r="34" spans="1:4" x14ac:dyDescent="0.25">
      <c r="A34" s="1">
        <v>24.891857000000002</v>
      </c>
      <c r="B34" s="1">
        <v>2013</v>
      </c>
      <c r="C34" s="1">
        <v>-41.649593000000003</v>
      </c>
      <c r="D34" s="1" t="s">
        <v>0</v>
      </c>
    </row>
    <row r="35" spans="1:4" x14ac:dyDescent="0.25">
      <c r="A35" s="1">
        <v>54.203712000000003</v>
      </c>
      <c r="B35" s="1">
        <v>2014</v>
      </c>
      <c r="C35" s="1">
        <v>-12.337738</v>
      </c>
      <c r="D35" s="1" t="s">
        <v>0</v>
      </c>
    </row>
    <row r="36" spans="1:4" x14ac:dyDescent="0.25">
      <c r="A36" s="1">
        <v>79.719710000000006</v>
      </c>
      <c r="B36" s="1">
        <v>2015</v>
      </c>
      <c r="C36" s="1">
        <v>13.178260999999999</v>
      </c>
      <c r="D36" s="1" t="s">
        <v>0</v>
      </c>
    </row>
    <row r="37" spans="1:4" x14ac:dyDescent="0.25">
      <c r="A37" s="1">
        <v>38.609932000000001</v>
      </c>
      <c r="B37" s="1">
        <v>2016</v>
      </c>
      <c r="C37" s="1">
        <v>-27.931519000000002</v>
      </c>
      <c r="D37" s="1" t="s">
        <v>0</v>
      </c>
    </row>
    <row r="38" spans="1:4" x14ac:dyDescent="0.25">
      <c r="A38" s="1">
        <v>45.219653999999998</v>
      </c>
      <c r="B38" s="1">
        <v>2017</v>
      </c>
      <c r="C38" s="1">
        <v>-21.321795999999999</v>
      </c>
      <c r="D38" s="1" t="s">
        <v>0</v>
      </c>
    </row>
    <row r="39" spans="1:4" x14ac:dyDescent="0.25">
      <c r="A39" s="1">
        <v>166.74823000000001</v>
      </c>
      <c r="B39" s="1">
        <v>2018</v>
      </c>
      <c r="C39" s="1">
        <v>100.20677999999999</v>
      </c>
      <c r="D39" s="1" t="s">
        <v>0</v>
      </c>
    </row>
    <row r="40" spans="1:4" x14ac:dyDescent="0.25">
      <c r="A40" s="1">
        <v>33.346615</v>
      </c>
      <c r="B40" s="1">
        <v>2019</v>
      </c>
      <c r="C40" s="1">
        <v>-33.194836000000002</v>
      </c>
      <c r="D40" s="1" t="s">
        <v>0</v>
      </c>
    </row>
    <row r="41" spans="1:4" x14ac:dyDescent="0.25">
      <c r="A41" s="1">
        <v>76.794550000000001</v>
      </c>
      <c r="B41" s="1">
        <v>2020</v>
      </c>
      <c r="C41" s="1">
        <v>10.253098</v>
      </c>
      <c r="D41" s="1" t="s">
        <v>0</v>
      </c>
    </row>
    <row r="42" spans="1:4" x14ac:dyDescent="0.25">
      <c r="A42" s="1">
        <v>86.438980000000001</v>
      </c>
      <c r="B42" s="1">
        <v>2021</v>
      </c>
      <c r="C42" s="1">
        <v>19.89753</v>
      </c>
      <c r="D42" s="1" t="s">
        <v>0</v>
      </c>
    </row>
    <row r="43" spans="1:4" x14ac:dyDescent="0.25">
      <c r="A43" s="1">
        <v>28.074266000000001</v>
      </c>
      <c r="B43" s="1">
        <v>2022</v>
      </c>
      <c r="C43" s="1">
        <v>-38.467185999999998</v>
      </c>
      <c r="D43" s="1" t="s">
        <v>0</v>
      </c>
    </row>
    <row r="44" spans="1:4" x14ac:dyDescent="0.25">
      <c r="A44" s="1">
        <v>79.049094999999994</v>
      </c>
      <c r="B44" s="1">
        <v>2023</v>
      </c>
      <c r="C44" s="1">
        <v>12.507645</v>
      </c>
      <c r="D44" s="1" t="s">
        <v>0</v>
      </c>
    </row>
    <row r="45" spans="1:4" x14ac:dyDescent="0.25">
      <c r="A45" s="1">
        <v>34.256610000000002</v>
      </c>
      <c r="B45" s="1">
        <v>2024</v>
      </c>
      <c r="C45" s="1">
        <v>-32.284840000000003</v>
      </c>
      <c r="D45" s="1" t="s">
        <v>0</v>
      </c>
    </row>
    <row r="46" spans="1:4" x14ac:dyDescent="0.25">
      <c r="A46" s="1">
        <v>120.1815</v>
      </c>
      <c r="B46" s="1">
        <v>2025</v>
      </c>
      <c r="C46" s="1">
        <v>53.640053000000002</v>
      </c>
      <c r="D46" s="1" t="s">
        <v>0</v>
      </c>
    </row>
    <row r="47" spans="1:4" x14ac:dyDescent="0.25">
      <c r="A47" s="1">
        <v>52.978450000000002</v>
      </c>
      <c r="B47" s="1">
        <v>1981</v>
      </c>
      <c r="C47" s="1">
        <v>11.985580000000001</v>
      </c>
      <c r="D47" s="1" t="s">
        <v>1</v>
      </c>
    </row>
    <row r="48" spans="1:4" x14ac:dyDescent="0.25">
      <c r="A48" s="1">
        <v>38.164340000000003</v>
      </c>
      <c r="B48" s="1">
        <v>1982</v>
      </c>
      <c r="C48" s="1">
        <v>-2.8285293999999999</v>
      </c>
      <c r="D48" s="1" t="s">
        <v>1</v>
      </c>
    </row>
    <row r="49" spans="1:4" x14ac:dyDescent="0.25">
      <c r="A49" s="1">
        <v>29.440784000000001</v>
      </c>
      <c r="B49" s="1">
        <v>1983</v>
      </c>
      <c r="C49" s="1">
        <v>-11.552085999999999</v>
      </c>
      <c r="D49" s="1" t="s">
        <v>1</v>
      </c>
    </row>
    <row r="50" spans="1:4" x14ac:dyDescent="0.25">
      <c r="A50" s="1">
        <v>102.63451000000001</v>
      </c>
      <c r="B50" s="1">
        <v>1984</v>
      </c>
      <c r="C50" s="1">
        <v>61.641635999999998</v>
      </c>
      <c r="D50" s="1" t="s">
        <v>1</v>
      </c>
    </row>
    <row r="51" spans="1:4" x14ac:dyDescent="0.25">
      <c r="A51" s="1">
        <v>31.274666</v>
      </c>
      <c r="B51" s="1">
        <v>1985</v>
      </c>
      <c r="C51" s="1">
        <v>-9.7182045000000006</v>
      </c>
      <c r="D51" s="1" t="s">
        <v>1</v>
      </c>
    </row>
    <row r="52" spans="1:4" x14ac:dyDescent="0.25">
      <c r="A52" s="1">
        <v>39.991149999999998</v>
      </c>
      <c r="B52" s="1">
        <v>1986</v>
      </c>
      <c r="C52" s="1">
        <v>-1.0017204</v>
      </c>
      <c r="D52" s="1" t="s">
        <v>1</v>
      </c>
    </row>
    <row r="53" spans="1:4" x14ac:dyDescent="0.25">
      <c r="A53" s="1">
        <v>29.485769999999999</v>
      </c>
      <c r="B53" s="1">
        <v>1987</v>
      </c>
      <c r="C53" s="1">
        <v>-11.507101</v>
      </c>
      <c r="D53" s="1" t="s">
        <v>1</v>
      </c>
    </row>
    <row r="54" spans="1:4" x14ac:dyDescent="0.25">
      <c r="A54" s="1">
        <v>34.547896999999999</v>
      </c>
      <c r="B54" s="1">
        <v>1988</v>
      </c>
      <c r="C54" s="1">
        <v>-6.4449730000000001</v>
      </c>
      <c r="D54" s="1" t="s">
        <v>1</v>
      </c>
    </row>
    <row r="55" spans="1:4" x14ac:dyDescent="0.25">
      <c r="A55" s="1">
        <v>44.945050000000002</v>
      </c>
      <c r="B55" s="1">
        <v>1989</v>
      </c>
      <c r="C55" s="1">
        <v>3.9521790000000001</v>
      </c>
      <c r="D55" s="1" t="s">
        <v>1</v>
      </c>
    </row>
    <row r="56" spans="1:4" x14ac:dyDescent="0.25">
      <c r="A56" s="1">
        <v>37.052370000000003</v>
      </c>
      <c r="B56" s="1">
        <v>1990</v>
      </c>
      <c r="C56" s="1">
        <v>-3.9405022000000001</v>
      </c>
      <c r="D56" s="1" t="s">
        <v>1</v>
      </c>
    </row>
    <row r="57" spans="1:4" x14ac:dyDescent="0.25">
      <c r="A57" s="1">
        <v>31.673293999999999</v>
      </c>
      <c r="B57" s="1">
        <v>1991</v>
      </c>
      <c r="C57" s="1">
        <v>-9.3195759999999996</v>
      </c>
      <c r="D57" s="1" t="s">
        <v>1</v>
      </c>
    </row>
    <row r="58" spans="1:4" x14ac:dyDescent="0.25">
      <c r="A58" s="1">
        <v>33.673878000000002</v>
      </c>
      <c r="B58" s="1">
        <v>1992</v>
      </c>
      <c r="C58" s="1">
        <v>-7.3189925999999996</v>
      </c>
      <c r="D58" s="1" t="s">
        <v>1</v>
      </c>
    </row>
    <row r="59" spans="1:4" x14ac:dyDescent="0.25">
      <c r="A59" s="1">
        <v>29.172964</v>
      </c>
      <c r="B59" s="1">
        <v>1993</v>
      </c>
      <c r="C59" s="1">
        <v>-11.819906</v>
      </c>
      <c r="D59" s="1" t="s">
        <v>1</v>
      </c>
    </row>
    <row r="60" spans="1:4" x14ac:dyDescent="0.25">
      <c r="A60" s="1">
        <v>25.892277</v>
      </c>
      <c r="B60" s="1">
        <v>1994</v>
      </c>
      <c r="C60" s="1">
        <v>-15.100593999999999</v>
      </c>
      <c r="D60" s="1" t="s">
        <v>1</v>
      </c>
    </row>
    <row r="61" spans="1:4" x14ac:dyDescent="0.25">
      <c r="A61" s="1">
        <v>23.489878000000001</v>
      </c>
      <c r="B61" s="1">
        <v>1995</v>
      </c>
      <c r="C61" s="1">
        <v>-17.502993</v>
      </c>
      <c r="D61" s="1" t="s">
        <v>1</v>
      </c>
    </row>
    <row r="62" spans="1:4" x14ac:dyDescent="0.25">
      <c r="A62" s="1">
        <v>91.997159999999994</v>
      </c>
      <c r="B62" s="1">
        <v>1996</v>
      </c>
      <c r="C62" s="1">
        <v>51.004289999999997</v>
      </c>
      <c r="D62" s="1" t="s">
        <v>1</v>
      </c>
    </row>
    <row r="63" spans="1:4" x14ac:dyDescent="0.25">
      <c r="A63" s="1">
        <v>86.714929999999995</v>
      </c>
      <c r="B63" s="1">
        <v>1997</v>
      </c>
      <c r="C63" s="1">
        <v>45.722057</v>
      </c>
      <c r="D63" s="1" t="s">
        <v>1</v>
      </c>
    </row>
    <row r="64" spans="1:4" x14ac:dyDescent="0.25">
      <c r="A64" s="1">
        <v>52.931759999999997</v>
      </c>
      <c r="B64" s="1">
        <v>1998</v>
      </c>
      <c r="C64" s="1">
        <v>11.938889</v>
      </c>
      <c r="D64" s="1" t="s">
        <v>1</v>
      </c>
    </row>
    <row r="65" spans="1:4" x14ac:dyDescent="0.25">
      <c r="A65" s="1">
        <v>87.845214999999996</v>
      </c>
      <c r="B65" s="1">
        <v>1999</v>
      </c>
      <c r="C65" s="1">
        <v>46.852345</v>
      </c>
      <c r="D65" s="1" t="s">
        <v>1</v>
      </c>
    </row>
    <row r="66" spans="1:4" x14ac:dyDescent="0.25">
      <c r="A66" s="1">
        <v>50.547879999999999</v>
      </c>
      <c r="B66" s="1">
        <v>2000</v>
      </c>
      <c r="C66" s="1">
        <v>9.5550080000000008</v>
      </c>
      <c r="D66" s="1" t="s">
        <v>1</v>
      </c>
    </row>
    <row r="67" spans="1:4" x14ac:dyDescent="0.25">
      <c r="A67" s="1">
        <v>30.622472999999999</v>
      </c>
      <c r="B67" s="1">
        <v>2001</v>
      </c>
      <c r="C67" s="1">
        <v>-10.370398</v>
      </c>
      <c r="D67" s="1" t="s">
        <v>1</v>
      </c>
    </row>
    <row r="68" spans="1:4" x14ac:dyDescent="0.25">
      <c r="A68" s="1">
        <v>33.613014</v>
      </c>
      <c r="B68" s="1">
        <v>2002</v>
      </c>
      <c r="C68" s="1">
        <v>-7.3798560000000002</v>
      </c>
      <c r="D68" s="1" t="s">
        <v>1</v>
      </c>
    </row>
    <row r="69" spans="1:4" x14ac:dyDescent="0.25">
      <c r="A69" s="1">
        <v>29.359780000000001</v>
      </c>
      <c r="B69" s="1">
        <v>2003</v>
      </c>
      <c r="C69" s="1">
        <v>-11.633091</v>
      </c>
      <c r="D69" s="1" t="s">
        <v>1</v>
      </c>
    </row>
    <row r="70" spans="1:4" x14ac:dyDescent="0.25">
      <c r="A70" s="1">
        <v>28.806056999999999</v>
      </c>
      <c r="B70" s="1">
        <v>2004</v>
      </c>
      <c r="C70" s="1">
        <v>-12.186813000000001</v>
      </c>
      <c r="D70" s="1" t="s">
        <v>1</v>
      </c>
    </row>
    <row r="71" spans="1:4" x14ac:dyDescent="0.25">
      <c r="A71" s="1">
        <v>26.899681000000001</v>
      </c>
      <c r="B71" s="1">
        <v>2005</v>
      </c>
      <c r="C71" s="1">
        <v>-14.093189000000001</v>
      </c>
      <c r="D71" s="1" t="s">
        <v>1</v>
      </c>
    </row>
    <row r="72" spans="1:4" x14ac:dyDescent="0.25">
      <c r="A72" s="1">
        <v>52.781570000000002</v>
      </c>
      <c r="B72" s="1">
        <v>2006</v>
      </c>
      <c r="C72" s="1">
        <v>11.7887</v>
      </c>
      <c r="D72" s="1" t="s">
        <v>1</v>
      </c>
    </row>
    <row r="73" spans="1:4" x14ac:dyDescent="0.25">
      <c r="A73" s="1">
        <v>22.815199</v>
      </c>
      <c r="B73" s="1">
        <v>2007</v>
      </c>
      <c r="C73" s="1">
        <v>-18.177671</v>
      </c>
      <c r="D73" s="1" t="s">
        <v>1</v>
      </c>
    </row>
    <row r="74" spans="1:4" x14ac:dyDescent="0.25">
      <c r="A74" s="1">
        <v>75.868200000000002</v>
      </c>
      <c r="B74" s="1">
        <v>2008</v>
      </c>
      <c r="C74" s="1">
        <v>34.875329999999998</v>
      </c>
      <c r="D74" s="1" t="s">
        <v>1</v>
      </c>
    </row>
    <row r="75" spans="1:4" x14ac:dyDescent="0.25">
      <c r="A75" s="1">
        <v>55.837623999999998</v>
      </c>
      <c r="B75" s="1">
        <v>2009</v>
      </c>
      <c r="C75" s="1">
        <v>14.844753000000001</v>
      </c>
      <c r="D75" s="1" t="s">
        <v>1</v>
      </c>
    </row>
    <row r="76" spans="1:4" x14ac:dyDescent="0.25">
      <c r="A76" s="1">
        <v>72.962459999999993</v>
      </c>
      <c r="B76" s="1">
        <v>2010</v>
      </c>
      <c r="C76" s="1">
        <v>31.969593</v>
      </c>
      <c r="D76" s="1" t="s">
        <v>1</v>
      </c>
    </row>
    <row r="77" spans="1:4" x14ac:dyDescent="0.25">
      <c r="A77" s="1">
        <v>50.02872</v>
      </c>
      <c r="B77" s="1">
        <v>2011</v>
      </c>
      <c r="C77" s="1">
        <v>9.0358509999999992</v>
      </c>
      <c r="D77" s="1" t="s">
        <v>1</v>
      </c>
    </row>
    <row r="78" spans="1:4" x14ac:dyDescent="0.25">
      <c r="A78" s="1">
        <v>24.565756</v>
      </c>
      <c r="B78" s="1">
        <v>2012</v>
      </c>
      <c r="C78" s="1">
        <v>-16.427114</v>
      </c>
      <c r="D78" s="1" t="s">
        <v>1</v>
      </c>
    </row>
    <row r="79" spans="1:4" x14ac:dyDescent="0.25">
      <c r="A79" s="1">
        <v>28.205870000000001</v>
      </c>
      <c r="B79" s="1">
        <v>2013</v>
      </c>
      <c r="C79" s="1">
        <v>-12.787001</v>
      </c>
      <c r="D79" s="1" t="s">
        <v>1</v>
      </c>
    </row>
    <row r="80" spans="1:4" x14ac:dyDescent="0.25">
      <c r="A80" s="1">
        <v>24.171285999999998</v>
      </c>
      <c r="B80" s="1">
        <v>2014</v>
      </c>
      <c r="C80" s="1">
        <v>-16.821584999999999</v>
      </c>
      <c r="D80" s="1" t="s">
        <v>1</v>
      </c>
    </row>
    <row r="81" spans="1:4" x14ac:dyDescent="0.25">
      <c r="A81" s="1">
        <v>48.388039999999997</v>
      </c>
      <c r="B81" s="1">
        <v>2015</v>
      </c>
      <c r="C81" s="1">
        <v>7.3951682999999999</v>
      </c>
      <c r="D81" s="1" t="s">
        <v>1</v>
      </c>
    </row>
    <row r="82" spans="1:4" x14ac:dyDescent="0.25">
      <c r="A82" s="1">
        <v>20.789180000000002</v>
      </c>
      <c r="B82" s="1">
        <v>2016</v>
      </c>
      <c r="C82" s="1">
        <v>-20.203690000000002</v>
      </c>
      <c r="D82" s="1" t="s">
        <v>1</v>
      </c>
    </row>
    <row r="83" spans="1:4" x14ac:dyDescent="0.25">
      <c r="A83" s="1">
        <v>29.337392999999999</v>
      </c>
      <c r="B83" s="1">
        <v>2017</v>
      </c>
      <c r="C83" s="1">
        <v>-11.655478</v>
      </c>
      <c r="D83" s="1" t="s">
        <v>1</v>
      </c>
    </row>
    <row r="84" spans="1:4" x14ac:dyDescent="0.25">
      <c r="A84" s="1">
        <v>19.968198999999998</v>
      </c>
      <c r="B84" s="1">
        <v>2018</v>
      </c>
      <c r="C84" s="1">
        <v>-21.024671999999999</v>
      </c>
      <c r="D84" s="1" t="s">
        <v>1</v>
      </c>
    </row>
    <row r="85" spans="1:4" x14ac:dyDescent="0.25">
      <c r="A85" s="1">
        <v>19.779437999999999</v>
      </c>
      <c r="B85" s="1">
        <v>2019</v>
      </c>
      <c r="C85" s="1">
        <v>-21.213432000000001</v>
      </c>
      <c r="D85" s="1" t="s">
        <v>1</v>
      </c>
    </row>
    <row r="86" spans="1:4" x14ac:dyDescent="0.25">
      <c r="A86" s="1">
        <v>21.047138</v>
      </c>
      <c r="B86" s="1">
        <v>2020</v>
      </c>
      <c r="C86" s="1">
        <v>-19.945732</v>
      </c>
      <c r="D86" s="1" t="s">
        <v>1</v>
      </c>
    </row>
    <row r="87" spans="1:4" x14ac:dyDescent="0.25">
      <c r="A87" s="1">
        <v>58.323177000000001</v>
      </c>
      <c r="B87" s="1">
        <v>2021</v>
      </c>
      <c r="C87" s="1">
        <v>17.330307000000001</v>
      </c>
      <c r="D87" s="1" t="s">
        <v>1</v>
      </c>
    </row>
    <row r="88" spans="1:4" x14ac:dyDescent="0.25">
      <c r="A88" s="1">
        <v>58.003895</v>
      </c>
      <c r="B88" s="1">
        <v>2022</v>
      </c>
      <c r="C88" s="1">
        <v>17.011023999999999</v>
      </c>
      <c r="D88" s="1" t="s">
        <v>1</v>
      </c>
    </row>
    <row r="89" spans="1:4" x14ac:dyDescent="0.25">
      <c r="A89" s="1">
        <v>19.329172</v>
      </c>
      <c r="B89" s="1">
        <v>2023</v>
      </c>
      <c r="C89" s="1">
        <v>-21.663698</v>
      </c>
      <c r="D89" s="1" t="s">
        <v>1</v>
      </c>
    </row>
    <row r="90" spans="1:4" x14ac:dyDescent="0.25">
      <c r="A90" s="1">
        <v>39.468890000000002</v>
      </c>
      <c r="B90" s="1">
        <v>2024</v>
      </c>
      <c r="C90" s="1">
        <v>-1.5239792000000001</v>
      </c>
      <c r="D90" s="1" t="s">
        <v>1</v>
      </c>
    </row>
    <row r="91" spans="1:4" x14ac:dyDescent="0.25">
      <c r="A91" s="1">
        <v>152.07509999999999</v>
      </c>
      <c r="B91" s="1">
        <v>2025</v>
      </c>
      <c r="C91" s="1">
        <v>111.08223</v>
      </c>
      <c r="D91" s="1" t="s">
        <v>1</v>
      </c>
    </row>
    <row r="92" spans="1:4" x14ac:dyDescent="0.25">
      <c r="A92" s="1">
        <v>118.39973000000001</v>
      </c>
      <c r="B92" s="1">
        <v>2021</v>
      </c>
      <c r="C92" s="1">
        <v>71.85472</v>
      </c>
      <c r="D92" s="1" t="s">
        <v>2</v>
      </c>
    </row>
    <row r="93" spans="1:4" x14ac:dyDescent="0.25">
      <c r="A93" s="1">
        <v>111.5752</v>
      </c>
      <c r="B93" s="1">
        <v>2025</v>
      </c>
      <c r="C93" s="1">
        <v>65.030199999999994</v>
      </c>
      <c r="D93" s="1" t="s">
        <v>2</v>
      </c>
    </row>
    <row r="94" spans="1:4" x14ac:dyDescent="0.25">
      <c r="A94" s="1">
        <v>97.059950000000001</v>
      </c>
      <c r="B94" s="1">
        <v>1993</v>
      </c>
      <c r="C94" s="1">
        <v>50.514949999999999</v>
      </c>
      <c r="D94" s="1" t="s">
        <v>2</v>
      </c>
    </row>
    <row r="95" spans="1:4" x14ac:dyDescent="0.25">
      <c r="A95" s="1">
        <v>87.746216000000004</v>
      </c>
      <c r="B95" s="1">
        <v>1981</v>
      </c>
      <c r="C95" s="1">
        <v>41.201214</v>
      </c>
      <c r="D95" s="1" t="s">
        <v>2</v>
      </c>
    </row>
    <row r="96" spans="1:4" x14ac:dyDescent="0.25">
      <c r="A96" s="1">
        <v>85.192279999999997</v>
      </c>
      <c r="B96" s="1">
        <v>2005</v>
      </c>
      <c r="C96" s="1">
        <v>38.647280000000002</v>
      </c>
      <c r="D96" s="1" t="s">
        <v>2</v>
      </c>
    </row>
    <row r="97" spans="1:4" x14ac:dyDescent="0.25">
      <c r="A97" s="1">
        <v>74.557143999999994</v>
      </c>
      <c r="B97" s="1">
        <v>2010</v>
      </c>
      <c r="C97" s="1">
        <v>28.012142000000001</v>
      </c>
      <c r="D97" s="1" t="s">
        <v>2</v>
      </c>
    </row>
    <row r="98" spans="1:4" x14ac:dyDescent="0.25">
      <c r="A98" s="1">
        <v>71.971649999999997</v>
      </c>
      <c r="B98" s="1">
        <v>2006</v>
      </c>
      <c r="C98" s="1">
        <v>25.426646999999999</v>
      </c>
      <c r="D98" s="1" t="s">
        <v>2</v>
      </c>
    </row>
    <row r="99" spans="1:4" x14ac:dyDescent="0.25">
      <c r="A99" s="1">
        <v>70.703050000000005</v>
      </c>
      <c r="B99" s="1">
        <v>1999</v>
      </c>
      <c r="C99" s="1">
        <v>24.158047</v>
      </c>
      <c r="D99" s="1" t="s">
        <v>2</v>
      </c>
    </row>
    <row r="100" spans="1:4" x14ac:dyDescent="0.25">
      <c r="A100" s="1">
        <v>69.262889999999999</v>
      </c>
      <c r="B100" s="1">
        <v>1996</v>
      </c>
      <c r="C100" s="1">
        <v>22.717891999999999</v>
      </c>
      <c r="D100" s="1" t="s">
        <v>2</v>
      </c>
    </row>
    <row r="101" spans="1:4" x14ac:dyDescent="0.25">
      <c r="A101" s="1">
        <v>67.65325</v>
      </c>
      <c r="B101" s="1">
        <v>2011</v>
      </c>
      <c r="C101" s="1">
        <v>21.108250000000002</v>
      </c>
      <c r="D101" s="1" t="s">
        <v>2</v>
      </c>
    </row>
    <row r="102" spans="1:4" x14ac:dyDescent="0.25">
      <c r="A102" s="1">
        <v>63.196390000000001</v>
      </c>
      <c r="B102" s="1">
        <v>2003</v>
      </c>
      <c r="C102" s="1">
        <v>16.651385999999999</v>
      </c>
      <c r="D102" s="1" t="s">
        <v>2</v>
      </c>
    </row>
    <row r="103" spans="1:4" x14ac:dyDescent="0.25">
      <c r="A103" s="1">
        <v>62.626792999999999</v>
      </c>
      <c r="B103" s="1">
        <v>2023</v>
      </c>
      <c r="C103" s="1">
        <v>16.081790000000002</v>
      </c>
      <c r="D103" s="1" t="s">
        <v>2</v>
      </c>
    </row>
    <row r="104" spans="1:4" x14ac:dyDescent="0.25">
      <c r="A104" s="1">
        <v>61.477027999999997</v>
      </c>
      <c r="B104" s="1">
        <v>1983</v>
      </c>
      <c r="C104" s="1">
        <v>14.932026</v>
      </c>
      <c r="D104" s="1" t="s">
        <v>2</v>
      </c>
    </row>
    <row r="105" spans="1:4" x14ac:dyDescent="0.25">
      <c r="A105" s="1">
        <v>56.278553000000002</v>
      </c>
      <c r="B105" s="1">
        <v>1984</v>
      </c>
      <c r="C105" s="1">
        <v>9.7335510000000003</v>
      </c>
      <c r="D105" s="1" t="s">
        <v>2</v>
      </c>
    </row>
    <row r="106" spans="1:4" x14ac:dyDescent="0.25">
      <c r="A106" s="1">
        <v>55.360030000000002</v>
      </c>
      <c r="B106" s="1">
        <v>2017</v>
      </c>
      <c r="C106" s="1">
        <v>8.8150289999999991</v>
      </c>
      <c r="D106" s="1" t="s">
        <v>2</v>
      </c>
    </row>
    <row r="107" spans="1:4" x14ac:dyDescent="0.25">
      <c r="A107" s="1">
        <v>53.411503000000003</v>
      </c>
      <c r="B107" s="1">
        <v>2001</v>
      </c>
      <c r="C107" s="1">
        <v>6.8665010000000004</v>
      </c>
      <c r="D107" s="1" t="s">
        <v>2</v>
      </c>
    </row>
    <row r="108" spans="1:4" x14ac:dyDescent="0.25">
      <c r="A108" s="1">
        <v>52.090297999999997</v>
      </c>
      <c r="B108" s="1">
        <v>2022</v>
      </c>
      <c r="C108" s="1">
        <v>5.5452956999999996</v>
      </c>
      <c r="D108" s="1" t="s">
        <v>2</v>
      </c>
    </row>
    <row r="109" spans="1:4" x14ac:dyDescent="0.25">
      <c r="A109" s="1">
        <v>51.580246000000002</v>
      </c>
      <c r="B109" s="1">
        <v>2009</v>
      </c>
      <c r="C109" s="1">
        <v>5.0352439999999996</v>
      </c>
      <c r="D109" s="1" t="s">
        <v>2</v>
      </c>
    </row>
    <row r="110" spans="1:4" x14ac:dyDescent="0.25">
      <c r="A110" s="1">
        <v>51.516502000000003</v>
      </c>
      <c r="B110" s="1">
        <v>1986</v>
      </c>
      <c r="C110" s="1">
        <v>4.9715004</v>
      </c>
      <c r="D110" s="1" t="s">
        <v>2</v>
      </c>
    </row>
    <row r="111" spans="1:4" x14ac:dyDescent="0.25">
      <c r="A111" s="1">
        <v>51.150641999999998</v>
      </c>
      <c r="B111" s="1">
        <v>1990</v>
      </c>
      <c r="C111" s="1">
        <v>4.6056404000000004</v>
      </c>
      <c r="D111" s="1" t="s">
        <v>2</v>
      </c>
    </row>
    <row r="112" spans="1:4" x14ac:dyDescent="0.25">
      <c r="A112" s="1">
        <v>50.474865000000001</v>
      </c>
      <c r="B112" s="1">
        <v>2013</v>
      </c>
      <c r="C112" s="1">
        <v>3.9298630000000001</v>
      </c>
      <c r="D112" s="1" t="s">
        <v>2</v>
      </c>
    </row>
    <row r="113" spans="1:4" x14ac:dyDescent="0.25">
      <c r="A113" s="1">
        <v>48.576701999999997</v>
      </c>
      <c r="B113" s="1">
        <v>1991</v>
      </c>
      <c r="C113" s="1">
        <v>2.0317001000000001</v>
      </c>
      <c r="D113" s="1" t="s">
        <v>2</v>
      </c>
    </row>
    <row r="114" spans="1:4" x14ac:dyDescent="0.25">
      <c r="A114" s="1">
        <v>47.463805999999998</v>
      </c>
      <c r="B114" s="1">
        <v>1995</v>
      </c>
      <c r="C114" s="1">
        <v>0.91880417000000003</v>
      </c>
      <c r="D114" s="1" t="s">
        <v>2</v>
      </c>
    </row>
    <row r="115" spans="1:4" x14ac:dyDescent="0.25">
      <c r="A115" s="1">
        <v>41.244624999999999</v>
      </c>
      <c r="B115" s="1">
        <v>1987</v>
      </c>
      <c r="C115" s="1">
        <v>-5.3003770000000001</v>
      </c>
      <c r="D115" s="1" t="s">
        <v>2</v>
      </c>
    </row>
    <row r="116" spans="1:4" x14ac:dyDescent="0.25">
      <c r="A116" s="1">
        <v>40.919918000000003</v>
      </c>
      <c r="B116" s="1">
        <v>2007</v>
      </c>
      <c r="C116" s="1">
        <v>-5.6250840000000002</v>
      </c>
      <c r="D116" s="1" t="s">
        <v>2</v>
      </c>
    </row>
    <row r="117" spans="1:4" x14ac:dyDescent="0.25">
      <c r="A117" s="1">
        <v>39.276333000000001</v>
      </c>
      <c r="B117" s="1">
        <v>2000</v>
      </c>
      <c r="C117" s="1">
        <v>-7.268669</v>
      </c>
      <c r="D117" s="1" t="s">
        <v>2</v>
      </c>
    </row>
    <row r="118" spans="1:4" x14ac:dyDescent="0.25">
      <c r="A118" s="1">
        <v>38.869210000000002</v>
      </c>
      <c r="B118" s="1">
        <v>1994</v>
      </c>
      <c r="C118" s="1">
        <v>-7.6757926999999997</v>
      </c>
      <c r="D118" s="1" t="s">
        <v>2</v>
      </c>
    </row>
    <row r="119" spans="1:4" x14ac:dyDescent="0.25">
      <c r="A119" s="1">
        <v>38.456584999999997</v>
      </c>
      <c r="B119" s="1">
        <v>2014</v>
      </c>
      <c r="C119" s="1">
        <v>-8.0884169999999997</v>
      </c>
      <c r="D119" s="1" t="s">
        <v>2</v>
      </c>
    </row>
    <row r="120" spans="1:4" x14ac:dyDescent="0.25">
      <c r="A120" s="1">
        <v>38.31653</v>
      </c>
      <c r="B120" s="1">
        <v>1989</v>
      </c>
      <c r="C120" s="1">
        <v>-8.2284740000000003</v>
      </c>
      <c r="D120" s="1" t="s">
        <v>2</v>
      </c>
    </row>
    <row r="121" spans="1:4" x14ac:dyDescent="0.25">
      <c r="A121" s="1">
        <v>37.809193</v>
      </c>
      <c r="B121" s="1">
        <v>2008</v>
      </c>
      <c r="C121" s="1">
        <v>-8.7358089999999997</v>
      </c>
      <c r="D121" s="1" t="s">
        <v>2</v>
      </c>
    </row>
    <row r="122" spans="1:4" x14ac:dyDescent="0.25">
      <c r="A122" s="1">
        <v>37.368789999999997</v>
      </c>
      <c r="B122" s="1">
        <v>2024</v>
      </c>
      <c r="C122" s="1">
        <v>-9.1762119999999996</v>
      </c>
      <c r="D122" s="1" t="s">
        <v>2</v>
      </c>
    </row>
    <row r="123" spans="1:4" x14ac:dyDescent="0.25">
      <c r="A123" s="1">
        <v>36.500210000000003</v>
      </c>
      <c r="B123" s="1">
        <v>1988</v>
      </c>
      <c r="C123" s="1">
        <v>-10.044791999999999</v>
      </c>
      <c r="D123" s="1" t="s">
        <v>2</v>
      </c>
    </row>
    <row r="124" spans="1:4" x14ac:dyDescent="0.25">
      <c r="A124" s="1">
        <v>33.947189999999999</v>
      </c>
      <c r="B124" s="1">
        <v>2004</v>
      </c>
      <c r="C124" s="1">
        <v>-12.597813</v>
      </c>
      <c r="D124" s="1" t="s">
        <v>2</v>
      </c>
    </row>
    <row r="125" spans="1:4" x14ac:dyDescent="0.25">
      <c r="A125" s="1">
        <v>32.955219999999997</v>
      </c>
      <c r="B125" s="1">
        <v>2012</v>
      </c>
      <c r="C125" s="1">
        <v>-13.589783000000001</v>
      </c>
      <c r="D125" s="1" t="s">
        <v>2</v>
      </c>
    </row>
    <row r="126" spans="1:4" x14ac:dyDescent="0.25">
      <c r="A126" s="1">
        <v>32.621380000000002</v>
      </c>
      <c r="B126" s="1">
        <v>1998</v>
      </c>
      <c r="C126" s="1">
        <v>-13.923622</v>
      </c>
      <c r="D126" s="1" t="s">
        <v>2</v>
      </c>
    </row>
    <row r="127" spans="1:4" x14ac:dyDescent="0.25">
      <c r="A127" s="1">
        <v>31.222657999999999</v>
      </c>
      <c r="B127" s="1">
        <v>1982</v>
      </c>
      <c r="C127" s="1">
        <v>-15.322343999999999</v>
      </c>
      <c r="D127" s="1" t="s">
        <v>2</v>
      </c>
    </row>
    <row r="128" spans="1:4" x14ac:dyDescent="0.25">
      <c r="A128" s="1">
        <v>30.581795</v>
      </c>
      <c r="B128" s="1">
        <v>2002</v>
      </c>
      <c r="C128" s="1">
        <v>-15.963207000000001</v>
      </c>
      <c r="D128" s="1" t="s">
        <v>2</v>
      </c>
    </row>
    <row r="129" spans="1:4" x14ac:dyDescent="0.25">
      <c r="A129" s="1">
        <v>27.575645000000002</v>
      </c>
      <c r="B129" s="1">
        <v>2019</v>
      </c>
      <c r="C129" s="1">
        <v>-18.969356999999999</v>
      </c>
      <c r="D129" s="1" t="s">
        <v>2</v>
      </c>
    </row>
    <row r="130" spans="1:4" x14ac:dyDescent="0.25">
      <c r="A130" s="1">
        <v>27.146778000000001</v>
      </c>
      <c r="B130" s="1">
        <v>2018</v>
      </c>
      <c r="C130" s="1">
        <v>-19.398223999999999</v>
      </c>
      <c r="D130" s="1" t="s">
        <v>2</v>
      </c>
    </row>
    <row r="131" spans="1:4" x14ac:dyDescent="0.25">
      <c r="A131" s="1">
        <v>25.50722</v>
      </c>
      <c r="B131" s="1">
        <v>1997</v>
      </c>
      <c r="C131" s="1">
        <v>-21.037783000000001</v>
      </c>
      <c r="D131" s="1" t="s">
        <v>2</v>
      </c>
    </row>
    <row r="132" spans="1:4" x14ac:dyDescent="0.25">
      <c r="A132" s="1">
        <v>25.139116000000001</v>
      </c>
      <c r="B132" s="1">
        <v>2015</v>
      </c>
      <c r="C132" s="1">
        <v>-21.405885999999999</v>
      </c>
      <c r="D132" s="1" t="s">
        <v>2</v>
      </c>
    </row>
    <row r="133" spans="1:4" x14ac:dyDescent="0.25">
      <c r="A133" s="1">
        <v>24.512025999999999</v>
      </c>
      <c r="B133" s="1">
        <v>1985</v>
      </c>
      <c r="C133" s="1">
        <v>-22.032976000000001</v>
      </c>
      <c r="D133" s="1" t="s">
        <v>2</v>
      </c>
    </row>
    <row r="134" spans="1:4" x14ac:dyDescent="0.25">
      <c r="A134" s="1">
        <v>23.560552999999999</v>
      </c>
      <c r="B134" s="1">
        <v>1992</v>
      </c>
      <c r="C134" s="1">
        <v>-22.984449999999999</v>
      </c>
      <c r="D134" s="1" t="s">
        <v>2</v>
      </c>
    </row>
    <row r="135" spans="1:4" x14ac:dyDescent="0.25">
      <c r="A135" s="1">
        <v>18.591137</v>
      </c>
      <c r="B135" s="1">
        <v>2016</v>
      </c>
      <c r="C135" s="1">
        <v>-27.953865</v>
      </c>
      <c r="D135" s="1" t="s">
        <v>2</v>
      </c>
    </row>
    <row r="136" spans="1:4" x14ac:dyDescent="0.25">
      <c r="A136" s="1">
        <v>16.928915</v>
      </c>
      <c r="B136" s="1">
        <v>2020</v>
      </c>
      <c r="C136" s="1">
        <v>-29.616087</v>
      </c>
      <c r="D136" s="1" t="s">
        <v>2</v>
      </c>
    </row>
    <row r="137" spans="1:4" x14ac:dyDescent="0.25">
      <c r="A137" s="1">
        <v>389.6309</v>
      </c>
      <c r="B137" s="1">
        <v>2022</v>
      </c>
      <c r="C137" s="1">
        <v>264.91278</v>
      </c>
      <c r="D137" s="1" t="s">
        <v>3</v>
      </c>
    </row>
    <row r="138" spans="1:4" x14ac:dyDescent="0.25">
      <c r="A138" s="1">
        <v>263.75742000000002</v>
      </c>
      <c r="B138" s="1">
        <v>1981</v>
      </c>
      <c r="C138" s="1">
        <v>139.03928999999999</v>
      </c>
      <c r="D138" s="1" t="s">
        <v>3</v>
      </c>
    </row>
    <row r="139" spans="1:4" x14ac:dyDescent="0.25">
      <c r="A139" s="1">
        <v>250.22147000000001</v>
      </c>
      <c r="B139" s="1">
        <v>2021</v>
      </c>
      <c r="C139" s="1">
        <v>125.50333999999999</v>
      </c>
      <c r="D139" s="1" t="s">
        <v>3</v>
      </c>
    </row>
    <row r="140" spans="1:4" x14ac:dyDescent="0.25">
      <c r="A140" s="1">
        <v>208.05008000000001</v>
      </c>
      <c r="B140" s="1">
        <v>2012</v>
      </c>
      <c r="C140" s="1">
        <v>83.331954999999994</v>
      </c>
      <c r="D140" s="1" t="s">
        <v>3</v>
      </c>
    </row>
    <row r="141" spans="1:4" x14ac:dyDescent="0.25">
      <c r="A141" s="1">
        <v>202.12851000000001</v>
      </c>
      <c r="B141" s="1">
        <v>2007</v>
      </c>
      <c r="C141" s="1">
        <v>77.410385000000005</v>
      </c>
      <c r="D141" s="1" t="s">
        <v>3</v>
      </c>
    </row>
    <row r="142" spans="1:4" x14ac:dyDescent="0.25">
      <c r="A142" s="1">
        <v>188.8357</v>
      </c>
      <c r="B142" s="1">
        <v>2010</v>
      </c>
      <c r="C142" s="1">
        <v>64.117570000000001</v>
      </c>
      <c r="D142" s="1" t="s">
        <v>3</v>
      </c>
    </row>
    <row r="143" spans="1:4" x14ac:dyDescent="0.25">
      <c r="A143" s="1">
        <v>179.94785999999999</v>
      </c>
      <c r="B143" s="1">
        <v>2025</v>
      </c>
      <c r="C143" s="1">
        <v>55.229736000000003</v>
      </c>
      <c r="D143" s="1" t="s">
        <v>3</v>
      </c>
    </row>
    <row r="144" spans="1:4" x14ac:dyDescent="0.25">
      <c r="A144" s="1">
        <v>177.69807</v>
      </c>
      <c r="B144" s="1">
        <v>1995</v>
      </c>
      <c r="C144" s="1">
        <v>52.979950000000002</v>
      </c>
      <c r="D144" s="1" t="s">
        <v>3</v>
      </c>
    </row>
    <row r="145" spans="1:4" x14ac:dyDescent="0.25">
      <c r="A145" s="1">
        <v>175.58258000000001</v>
      </c>
      <c r="B145" s="1">
        <v>1987</v>
      </c>
      <c r="C145" s="1">
        <v>50.864455999999997</v>
      </c>
      <c r="D145" s="1" t="s">
        <v>3</v>
      </c>
    </row>
    <row r="146" spans="1:4" x14ac:dyDescent="0.25">
      <c r="A146" s="1">
        <v>172.70023</v>
      </c>
      <c r="B146" s="1">
        <v>1999</v>
      </c>
      <c r="C146" s="1">
        <v>47.982100000000003</v>
      </c>
      <c r="D146" s="1" t="s">
        <v>3</v>
      </c>
    </row>
    <row r="147" spans="1:4" x14ac:dyDescent="0.25">
      <c r="A147" s="1">
        <v>158.82599999999999</v>
      </c>
      <c r="B147" s="1">
        <v>1982</v>
      </c>
      <c r="C147" s="1">
        <v>34.107880000000002</v>
      </c>
      <c r="D147" s="1" t="s">
        <v>3</v>
      </c>
    </row>
    <row r="148" spans="1:4" x14ac:dyDescent="0.25">
      <c r="A148" s="1">
        <v>150.34482</v>
      </c>
      <c r="B148" s="1">
        <v>2011</v>
      </c>
      <c r="C148" s="1">
        <v>25.626694000000001</v>
      </c>
      <c r="D148" s="1" t="s">
        <v>3</v>
      </c>
    </row>
    <row r="149" spans="1:4" x14ac:dyDescent="0.25">
      <c r="A149" s="1">
        <v>148.48703</v>
      </c>
      <c r="B149" s="1">
        <v>2024</v>
      </c>
      <c r="C149" s="1">
        <v>23.768906000000001</v>
      </c>
      <c r="D149" s="1" t="s">
        <v>3</v>
      </c>
    </row>
    <row r="150" spans="1:4" x14ac:dyDescent="0.25">
      <c r="A150" s="1">
        <v>146.05897999999999</v>
      </c>
      <c r="B150" s="1">
        <v>1993</v>
      </c>
      <c r="C150" s="1">
        <v>21.34085</v>
      </c>
      <c r="D150" s="1" t="s">
        <v>3</v>
      </c>
    </row>
    <row r="151" spans="1:4" x14ac:dyDescent="0.25">
      <c r="A151" s="1">
        <v>141.99160000000001</v>
      </c>
      <c r="B151" s="1">
        <v>2003</v>
      </c>
      <c r="C151" s="1">
        <v>17.273468000000001</v>
      </c>
      <c r="D151" s="1" t="s">
        <v>3</v>
      </c>
    </row>
    <row r="152" spans="1:4" x14ac:dyDescent="0.25">
      <c r="A152" s="1">
        <v>136.62003999999999</v>
      </c>
      <c r="B152" s="1">
        <v>2005</v>
      </c>
      <c r="C152" s="1">
        <v>11.9019165</v>
      </c>
      <c r="D152" s="1" t="s">
        <v>3</v>
      </c>
    </row>
    <row r="153" spans="1:4" x14ac:dyDescent="0.25">
      <c r="A153" s="1">
        <v>133.26865000000001</v>
      </c>
      <c r="B153" s="1">
        <v>2002</v>
      </c>
      <c r="C153" s="1">
        <v>8.5505220000000008</v>
      </c>
      <c r="D153" s="1" t="s">
        <v>3</v>
      </c>
    </row>
    <row r="154" spans="1:4" x14ac:dyDescent="0.25">
      <c r="A154" s="1">
        <v>132.25406000000001</v>
      </c>
      <c r="B154" s="1">
        <v>2018</v>
      </c>
      <c r="C154" s="1">
        <v>7.5359344000000004</v>
      </c>
      <c r="D154" s="1" t="s">
        <v>3</v>
      </c>
    </row>
    <row r="155" spans="1:4" x14ac:dyDescent="0.25">
      <c r="A155" s="1">
        <v>132.15321</v>
      </c>
      <c r="B155" s="1">
        <v>1992</v>
      </c>
      <c r="C155" s="1">
        <v>7.4350889999999996</v>
      </c>
      <c r="D155" s="1" t="s">
        <v>3</v>
      </c>
    </row>
    <row r="156" spans="1:4" x14ac:dyDescent="0.25">
      <c r="A156" s="1">
        <v>129.33850000000001</v>
      </c>
      <c r="B156" s="1">
        <v>2006</v>
      </c>
      <c r="C156" s="1">
        <v>4.6203766000000002</v>
      </c>
      <c r="D156" s="1" t="s">
        <v>3</v>
      </c>
    </row>
    <row r="157" spans="1:4" x14ac:dyDescent="0.25">
      <c r="A157" s="1">
        <v>122.095665</v>
      </c>
      <c r="B157" s="1">
        <v>2020</v>
      </c>
      <c r="C157" s="1">
        <v>-2.6224593999999999</v>
      </c>
      <c r="D157" s="1" t="s">
        <v>3</v>
      </c>
    </row>
    <row r="158" spans="1:4" x14ac:dyDescent="0.25">
      <c r="A158" s="1">
        <v>121.34650000000001</v>
      </c>
      <c r="B158" s="1">
        <v>2004</v>
      </c>
      <c r="C158" s="1">
        <v>-3.3716278000000002</v>
      </c>
      <c r="D158" s="1" t="s">
        <v>3</v>
      </c>
    </row>
    <row r="159" spans="1:4" x14ac:dyDescent="0.25">
      <c r="A159" s="1">
        <v>117.116806</v>
      </c>
      <c r="B159" s="1">
        <v>2000</v>
      </c>
      <c r="C159" s="1">
        <v>-7.6013184000000003</v>
      </c>
      <c r="D159" s="1" t="s">
        <v>3</v>
      </c>
    </row>
    <row r="160" spans="1:4" x14ac:dyDescent="0.25">
      <c r="A160" s="1">
        <v>115.701035</v>
      </c>
      <c r="B160" s="1">
        <v>1996</v>
      </c>
      <c r="C160" s="1">
        <v>-9.0170899999999996</v>
      </c>
      <c r="D160" s="1" t="s">
        <v>3</v>
      </c>
    </row>
    <row r="161" spans="1:4" x14ac:dyDescent="0.25">
      <c r="A161" s="1">
        <v>115.17889</v>
      </c>
      <c r="B161" s="1">
        <v>1986</v>
      </c>
      <c r="C161" s="1">
        <v>-9.5392379999999992</v>
      </c>
      <c r="D161" s="1" t="s">
        <v>3</v>
      </c>
    </row>
    <row r="162" spans="1:4" x14ac:dyDescent="0.25">
      <c r="A162" s="1">
        <v>113.10147000000001</v>
      </c>
      <c r="B162" s="1">
        <v>1998</v>
      </c>
      <c r="C162" s="1">
        <v>-11.616652999999999</v>
      </c>
      <c r="D162" s="1" t="s">
        <v>3</v>
      </c>
    </row>
    <row r="163" spans="1:4" x14ac:dyDescent="0.25">
      <c r="A163" s="1">
        <v>112.26778</v>
      </c>
      <c r="B163" s="1">
        <v>1991</v>
      </c>
      <c r="C163" s="1">
        <v>-12.450348</v>
      </c>
      <c r="D163" s="1" t="s">
        <v>3</v>
      </c>
    </row>
    <row r="164" spans="1:4" x14ac:dyDescent="0.25">
      <c r="A164" s="1">
        <v>107.50543999999999</v>
      </c>
      <c r="B164" s="1">
        <v>2016</v>
      </c>
      <c r="C164" s="1">
        <v>-17.212685</v>
      </c>
      <c r="D164" s="1" t="s">
        <v>3</v>
      </c>
    </row>
    <row r="165" spans="1:4" x14ac:dyDescent="0.25">
      <c r="A165" s="1">
        <v>103.01748000000001</v>
      </c>
      <c r="B165" s="1">
        <v>2017</v>
      </c>
      <c r="C165" s="1">
        <v>-21.700645000000002</v>
      </c>
      <c r="D165" s="1" t="s">
        <v>3</v>
      </c>
    </row>
    <row r="166" spans="1:4" x14ac:dyDescent="0.25">
      <c r="A166" s="1">
        <v>99.991810000000001</v>
      </c>
      <c r="B166" s="1">
        <v>2013</v>
      </c>
      <c r="C166" s="1">
        <v>-24.726310000000002</v>
      </c>
      <c r="D166" s="1" t="s">
        <v>3</v>
      </c>
    </row>
    <row r="167" spans="1:4" x14ac:dyDescent="0.25">
      <c r="A167" s="1">
        <v>98.398629999999997</v>
      </c>
      <c r="B167" s="1">
        <v>1994</v>
      </c>
      <c r="C167" s="1">
        <v>-26.319496000000001</v>
      </c>
      <c r="D167" s="1" t="s">
        <v>3</v>
      </c>
    </row>
    <row r="168" spans="1:4" x14ac:dyDescent="0.25">
      <c r="A168" s="1">
        <v>97.924289999999999</v>
      </c>
      <c r="B168" s="1">
        <v>1997</v>
      </c>
      <c r="C168" s="1">
        <v>-26.79383</v>
      </c>
      <c r="D168" s="1" t="s">
        <v>3</v>
      </c>
    </row>
    <row r="169" spans="1:4" x14ac:dyDescent="0.25">
      <c r="A169" s="1">
        <v>97.353639999999999</v>
      </c>
      <c r="B169" s="1">
        <v>1990</v>
      </c>
      <c r="C169" s="1">
        <v>-27.364487</v>
      </c>
      <c r="D169" s="1" t="s">
        <v>3</v>
      </c>
    </row>
    <row r="170" spans="1:4" x14ac:dyDescent="0.25">
      <c r="A170" s="1">
        <v>93.988119999999995</v>
      </c>
      <c r="B170" s="1">
        <v>2008</v>
      </c>
      <c r="C170" s="1">
        <v>-30.730003</v>
      </c>
      <c r="D170" s="1" t="s">
        <v>3</v>
      </c>
    </row>
    <row r="171" spans="1:4" x14ac:dyDescent="0.25">
      <c r="A171" s="1">
        <v>93.000389999999996</v>
      </c>
      <c r="B171" s="1">
        <v>2014</v>
      </c>
      <c r="C171" s="1">
        <v>-31.717735000000001</v>
      </c>
      <c r="D171" s="1" t="s">
        <v>3</v>
      </c>
    </row>
    <row r="172" spans="1:4" x14ac:dyDescent="0.25">
      <c r="A172" s="1">
        <v>89.416610000000006</v>
      </c>
      <c r="B172" s="1">
        <v>1983</v>
      </c>
      <c r="C172" s="1">
        <v>-35.301513999999997</v>
      </c>
      <c r="D172" s="1" t="s">
        <v>3</v>
      </c>
    </row>
    <row r="173" spans="1:4" x14ac:dyDescent="0.25">
      <c r="A173" s="1">
        <v>88.826620000000005</v>
      </c>
      <c r="B173" s="1">
        <v>2001</v>
      </c>
      <c r="C173" s="1">
        <v>-35.891502000000003</v>
      </c>
      <c r="D173" s="1" t="s">
        <v>3</v>
      </c>
    </row>
    <row r="174" spans="1:4" x14ac:dyDescent="0.25">
      <c r="A174" s="1">
        <v>78.390334999999993</v>
      </c>
      <c r="B174" s="1">
        <v>1984</v>
      </c>
      <c r="C174" s="1">
        <v>-46.32779</v>
      </c>
      <c r="D174" s="1" t="s">
        <v>3</v>
      </c>
    </row>
    <row r="175" spans="1:4" x14ac:dyDescent="0.25">
      <c r="A175" s="1">
        <v>78.055279999999996</v>
      </c>
      <c r="B175" s="1">
        <v>2019</v>
      </c>
      <c r="C175" s="1">
        <v>-46.662840000000003</v>
      </c>
      <c r="D175" s="1" t="s">
        <v>3</v>
      </c>
    </row>
    <row r="176" spans="1:4" x14ac:dyDescent="0.25">
      <c r="A176" s="1">
        <v>70.522193999999999</v>
      </c>
      <c r="B176" s="1">
        <v>2009</v>
      </c>
      <c r="C176" s="1">
        <v>-54.195929999999997</v>
      </c>
      <c r="D176" s="1" t="s">
        <v>3</v>
      </c>
    </row>
    <row r="177" spans="1:4" x14ac:dyDescent="0.25">
      <c r="A177" s="1">
        <v>62.836326999999997</v>
      </c>
      <c r="B177" s="1">
        <v>1988</v>
      </c>
      <c r="C177" s="1">
        <v>-61.881798000000003</v>
      </c>
      <c r="D177" s="1" t="s">
        <v>3</v>
      </c>
    </row>
    <row r="178" spans="1:4" x14ac:dyDescent="0.25">
      <c r="A178" s="1">
        <v>60.422127000000003</v>
      </c>
      <c r="B178" s="1">
        <v>2023</v>
      </c>
      <c r="C178" s="1">
        <v>-64.296000000000006</v>
      </c>
      <c r="D178" s="1" t="s">
        <v>3</v>
      </c>
    </row>
    <row r="179" spans="1:4" x14ac:dyDescent="0.25">
      <c r="A179" s="1">
        <v>57.241714000000002</v>
      </c>
      <c r="B179" s="1">
        <v>2015</v>
      </c>
      <c r="C179" s="1">
        <v>-67.476410000000001</v>
      </c>
      <c r="D179" s="1" t="s">
        <v>3</v>
      </c>
    </row>
    <row r="180" spans="1:4" x14ac:dyDescent="0.25">
      <c r="A180" s="1">
        <v>53.707301999999999</v>
      </c>
      <c r="B180" s="1">
        <v>1985</v>
      </c>
      <c r="C180" s="1">
        <v>-71.010819999999995</v>
      </c>
      <c r="D180" s="1" t="s">
        <v>3</v>
      </c>
    </row>
    <row r="181" spans="1:4" x14ac:dyDescent="0.25">
      <c r="A181" s="1">
        <v>41.221446999999998</v>
      </c>
      <c r="B181" s="1">
        <v>1989</v>
      </c>
      <c r="C181" s="1">
        <v>-83.496669999999995</v>
      </c>
      <c r="D181" s="1" t="s">
        <v>3</v>
      </c>
    </row>
    <row r="182" spans="1:4" x14ac:dyDescent="0.25">
      <c r="A182" s="1">
        <v>444.86754999999999</v>
      </c>
      <c r="B182" s="1">
        <v>2007</v>
      </c>
      <c r="C182" s="1">
        <v>120.57983400000001</v>
      </c>
      <c r="D182" s="1" t="s">
        <v>18</v>
      </c>
    </row>
    <row r="183" spans="1:4" x14ac:dyDescent="0.25">
      <c r="A183" s="1">
        <v>413.02704</v>
      </c>
      <c r="B183" s="1">
        <v>2017</v>
      </c>
      <c r="C183" s="1">
        <v>88.739320000000006</v>
      </c>
      <c r="D183" s="1" t="s">
        <v>18</v>
      </c>
    </row>
    <row r="184" spans="1:4" x14ac:dyDescent="0.25">
      <c r="A184" s="1">
        <v>408.29422</v>
      </c>
      <c r="B184" s="1">
        <v>2004</v>
      </c>
      <c r="C184" s="1">
        <v>84.006500000000003</v>
      </c>
      <c r="D184" s="1" t="s">
        <v>18</v>
      </c>
    </row>
    <row r="185" spans="1:4" x14ac:dyDescent="0.25">
      <c r="A185" s="1">
        <v>388.89330000000001</v>
      </c>
      <c r="B185" s="1">
        <v>1981</v>
      </c>
      <c r="C185" s="1">
        <v>64.605590000000007</v>
      </c>
      <c r="D185" s="1" t="s">
        <v>18</v>
      </c>
    </row>
    <row r="186" spans="1:4" x14ac:dyDescent="0.25">
      <c r="A186" s="1">
        <v>381.62470000000002</v>
      </c>
      <c r="B186" s="1">
        <v>1996</v>
      </c>
      <c r="C186" s="1">
        <v>57.336975000000002</v>
      </c>
      <c r="D186" s="1" t="s">
        <v>18</v>
      </c>
    </row>
    <row r="187" spans="1:4" x14ac:dyDescent="0.25">
      <c r="A187" s="1">
        <v>373.9348</v>
      </c>
      <c r="B187" s="1">
        <v>2025</v>
      </c>
      <c r="C187" s="1">
        <v>49.647095</v>
      </c>
      <c r="D187" s="1" t="s">
        <v>18</v>
      </c>
    </row>
    <row r="188" spans="1:4" x14ac:dyDescent="0.25">
      <c r="A188" s="1">
        <v>372.83386000000002</v>
      </c>
      <c r="B188" s="1">
        <v>2000</v>
      </c>
      <c r="C188" s="1">
        <v>48.546143000000001</v>
      </c>
      <c r="D188" s="1" t="s">
        <v>18</v>
      </c>
    </row>
    <row r="189" spans="1:4" x14ac:dyDescent="0.25">
      <c r="A189" s="1">
        <v>358.40660000000003</v>
      </c>
      <c r="B189" s="1">
        <v>2003</v>
      </c>
      <c r="C189" s="1">
        <v>34.118865999999997</v>
      </c>
      <c r="D189" s="1" t="s">
        <v>18</v>
      </c>
    </row>
    <row r="190" spans="1:4" x14ac:dyDescent="0.25">
      <c r="A190" s="1">
        <v>353.61757999999998</v>
      </c>
      <c r="B190" s="1">
        <v>2022</v>
      </c>
      <c r="C190" s="1">
        <v>29.329865000000002</v>
      </c>
      <c r="D190" s="1" t="s">
        <v>18</v>
      </c>
    </row>
    <row r="191" spans="1:4" x14ac:dyDescent="0.25">
      <c r="A191" s="1">
        <v>339.32616999999999</v>
      </c>
      <c r="B191" s="1">
        <v>1995</v>
      </c>
      <c r="C191" s="1">
        <v>15.038451999999999</v>
      </c>
      <c r="D191" s="1" t="s">
        <v>18</v>
      </c>
    </row>
    <row r="192" spans="1:4" x14ac:dyDescent="0.25">
      <c r="A192" s="1">
        <v>338.84848</v>
      </c>
      <c r="B192" s="1">
        <v>1990</v>
      </c>
      <c r="C192" s="1">
        <v>14.560760500000001</v>
      </c>
      <c r="D192" s="1" t="s">
        <v>18</v>
      </c>
    </row>
    <row r="193" spans="1:4" x14ac:dyDescent="0.25">
      <c r="A193" s="1">
        <v>338.18389999999999</v>
      </c>
      <c r="B193" s="1">
        <v>1991</v>
      </c>
      <c r="C193" s="1">
        <v>13.896179</v>
      </c>
      <c r="D193" s="1" t="s">
        <v>18</v>
      </c>
    </row>
    <row r="194" spans="1:4" x14ac:dyDescent="0.25">
      <c r="A194" s="1">
        <v>333.53503000000001</v>
      </c>
      <c r="B194" s="1">
        <v>1994</v>
      </c>
      <c r="C194" s="1">
        <v>9.2473139999999994</v>
      </c>
      <c r="D194" s="1" t="s">
        <v>18</v>
      </c>
    </row>
    <row r="195" spans="1:4" x14ac:dyDescent="0.25">
      <c r="A195" s="1">
        <v>332.00189999999998</v>
      </c>
      <c r="B195" s="1">
        <v>2008</v>
      </c>
      <c r="C195" s="1">
        <v>7.7141723999999998</v>
      </c>
      <c r="D195" s="1" t="s">
        <v>18</v>
      </c>
    </row>
    <row r="196" spans="1:4" x14ac:dyDescent="0.25">
      <c r="A196" s="1">
        <v>331.87909999999999</v>
      </c>
      <c r="B196" s="1">
        <v>2009</v>
      </c>
      <c r="C196" s="1">
        <v>7.5913696000000002</v>
      </c>
      <c r="D196" s="1" t="s">
        <v>18</v>
      </c>
    </row>
    <row r="197" spans="1:4" x14ac:dyDescent="0.25">
      <c r="A197" s="1">
        <v>327.70245</v>
      </c>
      <c r="B197" s="1">
        <v>2005</v>
      </c>
      <c r="C197" s="1">
        <v>3.4147340000000002</v>
      </c>
      <c r="D197" s="1" t="s">
        <v>18</v>
      </c>
    </row>
    <row r="198" spans="1:4" x14ac:dyDescent="0.25">
      <c r="A198" s="1">
        <v>327.61743000000001</v>
      </c>
      <c r="B198" s="1">
        <v>1999</v>
      </c>
      <c r="C198" s="1">
        <v>3.3297119999999998</v>
      </c>
      <c r="D198" s="1" t="s">
        <v>18</v>
      </c>
    </row>
    <row r="199" spans="1:4" x14ac:dyDescent="0.25">
      <c r="A199" s="1">
        <v>324.43182000000002</v>
      </c>
      <c r="B199" s="1">
        <v>1993</v>
      </c>
      <c r="C199" s="1">
        <v>0.14410400000000001</v>
      </c>
      <c r="D199" s="1" t="s">
        <v>18</v>
      </c>
    </row>
    <row r="200" spans="1:4" x14ac:dyDescent="0.25">
      <c r="A200" s="1">
        <v>321.59924000000001</v>
      </c>
      <c r="B200" s="1">
        <v>2012</v>
      </c>
      <c r="C200" s="1">
        <v>-2.6884766</v>
      </c>
      <c r="D200" s="1" t="s">
        <v>18</v>
      </c>
    </row>
    <row r="201" spans="1:4" x14ac:dyDescent="0.25">
      <c r="A201" s="1">
        <v>318.41674999999998</v>
      </c>
      <c r="B201" s="1">
        <v>1987</v>
      </c>
      <c r="C201" s="1">
        <v>-5.8709717000000001</v>
      </c>
      <c r="D201" s="1" t="s">
        <v>18</v>
      </c>
    </row>
    <row r="202" spans="1:4" x14ac:dyDescent="0.25">
      <c r="A202" s="1">
        <v>317.60242</v>
      </c>
      <c r="B202" s="1">
        <v>1982</v>
      </c>
      <c r="C202" s="1">
        <v>-6.6853027000000003</v>
      </c>
      <c r="D202" s="1" t="s">
        <v>18</v>
      </c>
    </row>
    <row r="203" spans="1:4" x14ac:dyDescent="0.25">
      <c r="A203" s="1">
        <v>313.53982999999999</v>
      </c>
      <c r="B203" s="1">
        <v>2011</v>
      </c>
      <c r="C203" s="1">
        <v>-10.747894000000001</v>
      </c>
      <c r="D203" s="1" t="s">
        <v>18</v>
      </c>
    </row>
    <row r="204" spans="1:4" x14ac:dyDescent="0.25">
      <c r="A204" s="1">
        <v>311.5797</v>
      </c>
      <c r="B204" s="1">
        <v>2020</v>
      </c>
      <c r="C204" s="1">
        <v>-12.708008</v>
      </c>
      <c r="D204" s="1" t="s">
        <v>18</v>
      </c>
    </row>
    <row r="205" spans="1:4" x14ac:dyDescent="0.25">
      <c r="A205" s="1">
        <v>307.38483000000002</v>
      </c>
      <c r="B205" s="1">
        <v>2014</v>
      </c>
      <c r="C205" s="1">
        <v>-16.902892999999999</v>
      </c>
      <c r="D205" s="1" t="s">
        <v>18</v>
      </c>
    </row>
    <row r="206" spans="1:4" x14ac:dyDescent="0.25">
      <c r="A206" s="1">
        <v>305.39681999999999</v>
      </c>
      <c r="B206" s="1">
        <v>2019</v>
      </c>
      <c r="C206" s="1">
        <v>-18.890899999999998</v>
      </c>
      <c r="D206" s="1" t="s">
        <v>18</v>
      </c>
    </row>
    <row r="207" spans="1:4" x14ac:dyDescent="0.25">
      <c r="A207" s="1">
        <v>304.20812999999998</v>
      </c>
      <c r="B207" s="1">
        <v>2006</v>
      </c>
      <c r="C207" s="1">
        <v>-20.07959</v>
      </c>
      <c r="D207" s="1" t="s">
        <v>18</v>
      </c>
    </row>
    <row r="208" spans="1:4" x14ac:dyDescent="0.25">
      <c r="A208" s="1">
        <v>303.88254000000001</v>
      </c>
      <c r="B208" s="1">
        <v>2024</v>
      </c>
      <c r="C208" s="1">
        <v>-20.405182</v>
      </c>
      <c r="D208" s="1" t="s">
        <v>18</v>
      </c>
    </row>
    <row r="209" spans="1:4" x14ac:dyDescent="0.25">
      <c r="A209" s="1">
        <v>303.76285000000001</v>
      </c>
      <c r="B209" s="1">
        <v>2010</v>
      </c>
      <c r="C209" s="1">
        <v>-20.524871999999998</v>
      </c>
      <c r="D209" s="1" t="s">
        <v>18</v>
      </c>
    </row>
    <row r="210" spans="1:4" x14ac:dyDescent="0.25">
      <c r="A210" s="1">
        <v>300.4941</v>
      </c>
      <c r="B210" s="1">
        <v>2021</v>
      </c>
      <c r="C210" s="1">
        <v>-23.793610000000001</v>
      </c>
      <c r="D210" s="1" t="s">
        <v>18</v>
      </c>
    </row>
    <row r="211" spans="1:4" x14ac:dyDescent="0.25">
      <c r="A211" s="1">
        <v>300.411</v>
      </c>
      <c r="B211" s="1">
        <v>1988</v>
      </c>
      <c r="C211" s="1">
        <v>-23.876709000000002</v>
      </c>
      <c r="D211" s="1" t="s">
        <v>18</v>
      </c>
    </row>
    <row r="212" spans="1:4" x14ac:dyDescent="0.25">
      <c r="A212" s="1">
        <v>299.52636999999999</v>
      </c>
      <c r="B212" s="1">
        <v>2018</v>
      </c>
      <c r="C212" s="1">
        <v>-24.761353</v>
      </c>
      <c r="D212" s="1" t="s">
        <v>18</v>
      </c>
    </row>
    <row r="213" spans="1:4" x14ac:dyDescent="0.25">
      <c r="A213" s="1">
        <v>297.57100000000003</v>
      </c>
      <c r="B213" s="1">
        <v>2013</v>
      </c>
      <c r="C213" s="1">
        <v>-26.716705000000001</v>
      </c>
      <c r="D213" s="1" t="s">
        <v>18</v>
      </c>
    </row>
    <row r="214" spans="1:4" x14ac:dyDescent="0.25">
      <c r="A214" s="1">
        <v>295.76587000000001</v>
      </c>
      <c r="B214" s="1">
        <v>1998</v>
      </c>
      <c r="C214" s="1">
        <v>-28.521850000000001</v>
      </c>
      <c r="D214" s="1" t="s">
        <v>18</v>
      </c>
    </row>
    <row r="215" spans="1:4" x14ac:dyDescent="0.25">
      <c r="A215" s="1">
        <v>292.71260000000001</v>
      </c>
      <c r="B215" s="1">
        <v>2016</v>
      </c>
      <c r="C215" s="1">
        <v>-31.575133999999998</v>
      </c>
      <c r="D215" s="1" t="s">
        <v>18</v>
      </c>
    </row>
    <row r="216" spans="1:4" x14ac:dyDescent="0.25">
      <c r="A216" s="1">
        <v>292.54784999999998</v>
      </c>
      <c r="B216" s="1">
        <v>1992</v>
      </c>
      <c r="C216" s="1">
        <v>-31.739868000000001</v>
      </c>
      <c r="D216" s="1" t="s">
        <v>18</v>
      </c>
    </row>
    <row r="217" spans="1:4" x14ac:dyDescent="0.25">
      <c r="A217" s="1">
        <v>287.29126000000002</v>
      </c>
      <c r="B217" s="1">
        <v>1984</v>
      </c>
      <c r="C217" s="1">
        <v>-36.996459999999999</v>
      </c>
      <c r="D217" s="1" t="s">
        <v>18</v>
      </c>
    </row>
    <row r="218" spans="1:4" x14ac:dyDescent="0.25">
      <c r="A218" s="1">
        <v>284.22160000000002</v>
      </c>
      <c r="B218" s="1">
        <v>2001</v>
      </c>
      <c r="C218" s="1">
        <v>-40.066130000000001</v>
      </c>
      <c r="D218" s="1" t="s">
        <v>18</v>
      </c>
    </row>
    <row r="219" spans="1:4" x14ac:dyDescent="0.25">
      <c r="A219" s="1">
        <v>281.4708</v>
      </c>
      <c r="B219" s="1">
        <v>1986</v>
      </c>
      <c r="C219" s="1">
        <v>-42.816924999999998</v>
      </c>
      <c r="D219" s="1" t="s">
        <v>18</v>
      </c>
    </row>
    <row r="220" spans="1:4" x14ac:dyDescent="0.25">
      <c r="A220" s="1">
        <v>275.98311999999999</v>
      </c>
      <c r="B220" s="1">
        <v>1997</v>
      </c>
      <c r="C220" s="1">
        <v>-48.304595999999997</v>
      </c>
      <c r="D220" s="1" t="s">
        <v>18</v>
      </c>
    </row>
    <row r="221" spans="1:4" x14ac:dyDescent="0.25">
      <c r="A221" s="1">
        <v>269.20785999999998</v>
      </c>
      <c r="B221" s="1">
        <v>1983</v>
      </c>
      <c r="C221" s="1">
        <v>-55.079864999999998</v>
      </c>
      <c r="D221" s="1" t="s">
        <v>18</v>
      </c>
    </row>
    <row r="222" spans="1:4" x14ac:dyDescent="0.25">
      <c r="A222" s="1">
        <v>266.87752999999998</v>
      </c>
      <c r="B222" s="1">
        <v>1989</v>
      </c>
      <c r="C222" s="1">
        <v>-57.410187000000001</v>
      </c>
      <c r="D222" s="1" t="s">
        <v>18</v>
      </c>
    </row>
    <row r="223" spans="1:4" x14ac:dyDescent="0.25">
      <c r="A223" s="1">
        <v>259.18970000000002</v>
      </c>
      <c r="B223" s="1">
        <v>1985</v>
      </c>
      <c r="C223" s="1">
        <v>-65.098020000000005</v>
      </c>
      <c r="D223" s="1" t="s">
        <v>18</v>
      </c>
    </row>
    <row r="224" spans="1:4" x14ac:dyDescent="0.25">
      <c r="A224" s="1">
        <v>254.78112999999999</v>
      </c>
      <c r="B224" s="1">
        <v>2002</v>
      </c>
      <c r="C224" s="1">
        <v>-69.506590000000003</v>
      </c>
      <c r="D224" s="1" t="s">
        <v>18</v>
      </c>
    </row>
    <row r="225" spans="1:4" x14ac:dyDescent="0.25">
      <c r="A225" s="1">
        <v>234.31897000000001</v>
      </c>
      <c r="B225" s="1">
        <v>2015</v>
      </c>
      <c r="C225" s="1">
        <v>-89.96875</v>
      </c>
      <c r="D225" s="1" t="s">
        <v>18</v>
      </c>
    </row>
    <row r="226" spans="1:4" x14ac:dyDescent="0.25">
      <c r="A226" s="1">
        <v>201.85758999999999</v>
      </c>
      <c r="B226" s="1">
        <v>2023</v>
      </c>
      <c r="C226" s="1">
        <v>-122.43013000000001</v>
      </c>
      <c r="D226" s="1" t="s">
        <v>18</v>
      </c>
    </row>
    <row r="227" spans="1:4" x14ac:dyDescent="0.25">
      <c r="A227" s="1">
        <v>412.42966000000001</v>
      </c>
      <c r="B227" s="1">
        <v>1981</v>
      </c>
      <c r="C227" s="1">
        <v>93.78546</v>
      </c>
      <c r="D227" s="1" t="s">
        <v>19</v>
      </c>
    </row>
    <row r="228" spans="1:4" x14ac:dyDescent="0.25">
      <c r="A228" s="1">
        <v>388.90449999999998</v>
      </c>
      <c r="B228" s="1">
        <v>2010</v>
      </c>
      <c r="C228" s="1">
        <v>70.260315000000006</v>
      </c>
      <c r="D228" s="1" t="s">
        <v>19</v>
      </c>
    </row>
    <row r="229" spans="1:4" x14ac:dyDescent="0.25">
      <c r="A229" s="1">
        <v>378.89055999999999</v>
      </c>
      <c r="B229" s="1">
        <v>1999</v>
      </c>
      <c r="C229" s="1">
        <v>60.246369999999999</v>
      </c>
      <c r="D229" s="1" t="s">
        <v>19</v>
      </c>
    </row>
    <row r="230" spans="1:4" x14ac:dyDescent="0.25">
      <c r="A230" s="1">
        <v>375.75745000000001</v>
      </c>
      <c r="B230" s="1">
        <v>2003</v>
      </c>
      <c r="C230" s="1">
        <v>57.113250000000001</v>
      </c>
      <c r="D230" s="1" t="s">
        <v>19</v>
      </c>
    </row>
    <row r="231" spans="1:4" x14ac:dyDescent="0.25">
      <c r="A231" s="1">
        <v>359.53635000000003</v>
      </c>
      <c r="B231" s="1">
        <v>1984</v>
      </c>
      <c r="C231" s="1">
        <v>40.892150000000001</v>
      </c>
      <c r="D231" s="1" t="s">
        <v>19</v>
      </c>
    </row>
    <row r="232" spans="1:4" x14ac:dyDescent="0.25">
      <c r="A232" s="1">
        <v>359.04486000000003</v>
      </c>
      <c r="B232" s="1">
        <v>1995</v>
      </c>
      <c r="C232" s="1">
        <v>40.400664999999996</v>
      </c>
      <c r="D232" s="1" t="s">
        <v>19</v>
      </c>
    </row>
    <row r="233" spans="1:4" x14ac:dyDescent="0.25">
      <c r="A233" s="1">
        <v>351.57596000000001</v>
      </c>
      <c r="B233" s="1">
        <v>2000</v>
      </c>
      <c r="C233" s="1">
        <v>32.931762999999997</v>
      </c>
      <c r="D233" s="1" t="s">
        <v>19</v>
      </c>
    </row>
    <row r="234" spans="1:4" x14ac:dyDescent="0.25">
      <c r="A234" s="1">
        <v>350.67970000000003</v>
      </c>
      <c r="B234" s="1">
        <v>1985</v>
      </c>
      <c r="C234" s="1">
        <v>32.035491999999998</v>
      </c>
      <c r="D234" s="1" t="s">
        <v>19</v>
      </c>
    </row>
    <row r="235" spans="1:4" x14ac:dyDescent="0.25">
      <c r="A235" s="1">
        <v>348.84714000000002</v>
      </c>
      <c r="B235" s="1">
        <v>1996</v>
      </c>
      <c r="C235" s="1">
        <v>30.202942</v>
      </c>
      <c r="D235" s="1" t="s">
        <v>19</v>
      </c>
    </row>
    <row r="236" spans="1:4" x14ac:dyDescent="0.25">
      <c r="A236" s="1">
        <v>346.64746000000002</v>
      </c>
      <c r="B236" s="1">
        <v>2022</v>
      </c>
      <c r="C236" s="1">
        <v>28.003264999999999</v>
      </c>
      <c r="D236" s="1" t="s">
        <v>19</v>
      </c>
    </row>
    <row r="237" spans="1:4" x14ac:dyDescent="0.25">
      <c r="A237" s="1">
        <v>340.96289999999999</v>
      </c>
      <c r="B237" s="1">
        <v>2025</v>
      </c>
      <c r="C237" s="1">
        <v>22.318695000000002</v>
      </c>
      <c r="D237" s="1" t="s">
        <v>19</v>
      </c>
    </row>
    <row r="238" spans="1:4" x14ac:dyDescent="0.25">
      <c r="A238" s="1">
        <v>335.71597000000003</v>
      </c>
      <c r="B238" s="1">
        <v>1993</v>
      </c>
      <c r="C238" s="1">
        <v>17.071777000000001</v>
      </c>
      <c r="D238" s="1" t="s">
        <v>19</v>
      </c>
    </row>
    <row r="239" spans="1:4" x14ac:dyDescent="0.25">
      <c r="A239" s="1">
        <v>334.69310000000002</v>
      </c>
      <c r="B239" s="1">
        <v>2018</v>
      </c>
      <c r="C239" s="1">
        <v>16.048919999999999</v>
      </c>
      <c r="D239" s="1" t="s">
        <v>19</v>
      </c>
    </row>
    <row r="240" spans="1:4" x14ac:dyDescent="0.25">
      <c r="A240" s="1">
        <v>332.9051</v>
      </c>
      <c r="B240" s="1">
        <v>1998</v>
      </c>
      <c r="C240" s="1">
        <v>14.260895</v>
      </c>
      <c r="D240" s="1" t="s">
        <v>19</v>
      </c>
    </row>
    <row r="241" spans="1:4" x14ac:dyDescent="0.25">
      <c r="A241" s="1">
        <v>331.78951999999998</v>
      </c>
      <c r="B241" s="1">
        <v>2007</v>
      </c>
      <c r="C241" s="1">
        <v>13.145325</v>
      </c>
      <c r="D241" s="1" t="s">
        <v>19</v>
      </c>
    </row>
    <row r="242" spans="1:4" x14ac:dyDescent="0.25">
      <c r="A242" s="1">
        <v>330.98039999999997</v>
      </c>
      <c r="B242" s="1">
        <v>2014</v>
      </c>
      <c r="C242" s="1">
        <v>12.336212</v>
      </c>
      <c r="D242" s="1" t="s">
        <v>19</v>
      </c>
    </row>
    <row r="243" spans="1:4" x14ac:dyDescent="0.25">
      <c r="A243" s="1">
        <v>330.97899999999998</v>
      </c>
      <c r="B243" s="1">
        <v>2024</v>
      </c>
      <c r="C243" s="1">
        <v>12.334808000000001</v>
      </c>
      <c r="D243" s="1" t="s">
        <v>19</v>
      </c>
    </row>
    <row r="244" spans="1:4" x14ac:dyDescent="0.25">
      <c r="A244" s="1">
        <v>328.94098000000002</v>
      </c>
      <c r="B244" s="1">
        <v>2009</v>
      </c>
      <c r="C244" s="1">
        <v>10.296783</v>
      </c>
      <c r="D244" s="1" t="s">
        <v>19</v>
      </c>
    </row>
    <row r="245" spans="1:4" x14ac:dyDescent="0.25">
      <c r="A245" s="1">
        <v>328.32137999999998</v>
      </c>
      <c r="B245" s="1">
        <v>1986</v>
      </c>
      <c r="C245" s="1">
        <v>9.6771849999999997</v>
      </c>
      <c r="D245" s="1" t="s">
        <v>19</v>
      </c>
    </row>
    <row r="246" spans="1:4" x14ac:dyDescent="0.25">
      <c r="A246" s="1">
        <v>327.98214999999999</v>
      </c>
      <c r="B246" s="1">
        <v>1989</v>
      </c>
      <c r="C246" s="1">
        <v>9.3379519999999996</v>
      </c>
      <c r="D246" s="1" t="s">
        <v>19</v>
      </c>
    </row>
    <row r="247" spans="1:4" x14ac:dyDescent="0.25">
      <c r="A247" s="1">
        <v>325.80446999999998</v>
      </c>
      <c r="B247" s="1">
        <v>2017</v>
      </c>
      <c r="C247" s="1">
        <v>7.1602782999999999</v>
      </c>
      <c r="D247" s="1" t="s">
        <v>19</v>
      </c>
    </row>
    <row r="248" spans="1:4" x14ac:dyDescent="0.25">
      <c r="A248" s="1">
        <v>324.33422999999999</v>
      </c>
      <c r="B248" s="1">
        <v>2005</v>
      </c>
      <c r="C248" s="1">
        <v>5.6900329999999997</v>
      </c>
      <c r="D248" s="1" t="s">
        <v>19</v>
      </c>
    </row>
    <row r="249" spans="1:4" x14ac:dyDescent="0.25">
      <c r="A249" s="1">
        <v>320.15359999999998</v>
      </c>
      <c r="B249" s="1">
        <v>2020</v>
      </c>
      <c r="C249" s="1">
        <v>1.5093993999999999</v>
      </c>
      <c r="D249" s="1" t="s">
        <v>19</v>
      </c>
    </row>
    <row r="250" spans="1:4" x14ac:dyDescent="0.25">
      <c r="A250" s="1">
        <v>319.02042</v>
      </c>
      <c r="B250" s="1">
        <v>2011</v>
      </c>
      <c r="C250" s="1">
        <v>0.37622070000000002</v>
      </c>
      <c r="D250" s="1" t="s">
        <v>19</v>
      </c>
    </row>
    <row r="251" spans="1:4" x14ac:dyDescent="0.25">
      <c r="A251" s="1">
        <v>317.09717000000001</v>
      </c>
      <c r="B251" s="1">
        <v>1994</v>
      </c>
      <c r="C251" s="1">
        <v>-1.5470276000000001</v>
      </c>
      <c r="D251" s="1" t="s">
        <v>19</v>
      </c>
    </row>
    <row r="252" spans="1:4" x14ac:dyDescent="0.25">
      <c r="A252" s="1">
        <v>316.98219999999998</v>
      </c>
      <c r="B252" s="1">
        <v>1988</v>
      </c>
      <c r="C252" s="1">
        <v>-1.6619873000000001</v>
      </c>
      <c r="D252" s="1" t="s">
        <v>19</v>
      </c>
    </row>
    <row r="253" spans="1:4" x14ac:dyDescent="0.25">
      <c r="A253" s="1">
        <v>309.26373000000001</v>
      </c>
      <c r="B253" s="1">
        <v>2006</v>
      </c>
      <c r="C253" s="1">
        <v>-9.3804630000000007</v>
      </c>
      <c r="D253" s="1" t="s">
        <v>19</v>
      </c>
    </row>
    <row r="254" spans="1:4" x14ac:dyDescent="0.25">
      <c r="A254" s="1">
        <v>309.02614999999997</v>
      </c>
      <c r="B254" s="1">
        <v>1991</v>
      </c>
      <c r="C254" s="1">
        <v>-9.6180420000000009</v>
      </c>
      <c r="D254" s="1" t="s">
        <v>19</v>
      </c>
    </row>
    <row r="255" spans="1:4" x14ac:dyDescent="0.25">
      <c r="A255" s="1">
        <v>308.78082000000001</v>
      </c>
      <c r="B255" s="1">
        <v>2019</v>
      </c>
      <c r="C255" s="1">
        <v>-9.8633729999999993</v>
      </c>
      <c r="D255" s="1" t="s">
        <v>19</v>
      </c>
    </row>
    <row r="256" spans="1:4" x14ac:dyDescent="0.25">
      <c r="A256" s="1">
        <v>306.12240000000003</v>
      </c>
      <c r="B256" s="1">
        <v>1997</v>
      </c>
      <c r="C256" s="1">
        <v>-12.521789999999999</v>
      </c>
      <c r="D256" s="1" t="s">
        <v>19</v>
      </c>
    </row>
    <row r="257" spans="1:4" x14ac:dyDescent="0.25">
      <c r="A257" s="1">
        <v>300.94702000000001</v>
      </c>
      <c r="B257" s="1">
        <v>2016</v>
      </c>
      <c r="C257" s="1">
        <v>-17.697174</v>
      </c>
      <c r="D257" s="1" t="s">
        <v>19</v>
      </c>
    </row>
    <row r="258" spans="1:4" x14ac:dyDescent="0.25">
      <c r="A258" s="1">
        <v>300.58987000000002</v>
      </c>
      <c r="B258" s="1">
        <v>2008</v>
      </c>
      <c r="C258" s="1">
        <v>-18.054321000000002</v>
      </c>
      <c r="D258" s="1" t="s">
        <v>19</v>
      </c>
    </row>
    <row r="259" spans="1:4" x14ac:dyDescent="0.25">
      <c r="A259" s="1">
        <v>299.25803000000002</v>
      </c>
      <c r="B259" s="1">
        <v>1982</v>
      </c>
      <c r="C259" s="1">
        <v>-19.38617</v>
      </c>
      <c r="D259" s="1" t="s">
        <v>19</v>
      </c>
    </row>
    <row r="260" spans="1:4" x14ac:dyDescent="0.25">
      <c r="A260" s="1">
        <v>296.29930000000002</v>
      </c>
      <c r="B260" s="1">
        <v>2004</v>
      </c>
      <c r="C260" s="1">
        <v>-22.344909999999999</v>
      </c>
      <c r="D260" s="1" t="s">
        <v>19</v>
      </c>
    </row>
    <row r="261" spans="1:4" x14ac:dyDescent="0.25">
      <c r="A261" s="1">
        <v>294.9042</v>
      </c>
      <c r="B261" s="1">
        <v>1983</v>
      </c>
      <c r="C261" s="1">
        <v>-23.739989999999999</v>
      </c>
      <c r="D261" s="1" t="s">
        <v>19</v>
      </c>
    </row>
    <row r="262" spans="1:4" x14ac:dyDescent="0.25">
      <c r="A262" s="1">
        <v>291.77699999999999</v>
      </c>
      <c r="B262" s="1">
        <v>1987</v>
      </c>
      <c r="C262" s="1">
        <v>-26.867187999999999</v>
      </c>
      <c r="D262" s="1" t="s">
        <v>19</v>
      </c>
    </row>
    <row r="263" spans="1:4" x14ac:dyDescent="0.25">
      <c r="A263" s="1">
        <v>290.84426999999999</v>
      </c>
      <c r="B263" s="1">
        <v>2013</v>
      </c>
      <c r="C263" s="1">
        <v>-27.799927</v>
      </c>
      <c r="D263" s="1" t="s">
        <v>19</v>
      </c>
    </row>
    <row r="264" spans="1:4" x14ac:dyDescent="0.25">
      <c r="A264" s="1">
        <v>289.06869999999998</v>
      </c>
      <c r="B264" s="1">
        <v>2001</v>
      </c>
      <c r="C264" s="1">
        <v>-29.575500000000002</v>
      </c>
      <c r="D264" s="1" t="s">
        <v>19</v>
      </c>
    </row>
    <row r="265" spans="1:4" x14ac:dyDescent="0.25">
      <c r="A265" s="1">
        <v>278.96872000000002</v>
      </c>
      <c r="B265" s="1">
        <v>1992</v>
      </c>
      <c r="C265" s="1">
        <v>-39.675476000000003</v>
      </c>
      <c r="D265" s="1" t="s">
        <v>19</v>
      </c>
    </row>
    <row r="266" spans="1:4" x14ac:dyDescent="0.25">
      <c r="A266" s="1">
        <v>276.43849999999998</v>
      </c>
      <c r="B266" s="1">
        <v>2002</v>
      </c>
      <c r="C266" s="1">
        <v>-42.205689999999997</v>
      </c>
      <c r="D266" s="1" t="s">
        <v>19</v>
      </c>
    </row>
    <row r="267" spans="1:4" x14ac:dyDescent="0.25">
      <c r="A267" s="1">
        <v>270.19193000000001</v>
      </c>
      <c r="B267" s="1">
        <v>1990</v>
      </c>
      <c r="C267" s="1">
        <v>-48.452269999999999</v>
      </c>
      <c r="D267" s="1" t="s">
        <v>19</v>
      </c>
    </row>
    <row r="268" spans="1:4" x14ac:dyDescent="0.25">
      <c r="A268" s="1">
        <v>270.07479999999998</v>
      </c>
      <c r="B268" s="1">
        <v>2021</v>
      </c>
      <c r="C268" s="1">
        <v>-48.569397000000002</v>
      </c>
      <c r="D268" s="1" t="s">
        <v>19</v>
      </c>
    </row>
    <row r="269" spans="1:4" x14ac:dyDescent="0.25">
      <c r="A269" s="1">
        <v>267.18813999999998</v>
      </c>
      <c r="B269" s="1">
        <v>2023</v>
      </c>
      <c r="C269" s="1">
        <v>-51.456054999999999</v>
      </c>
      <c r="D269" s="1" t="s">
        <v>19</v>
      </c>
    </row>
    <row r="270" spans="1:4" x14ac:dyDescent="0.25">
      <c r="A270" s="1">
        <v>245.10222999999999</v>
      </c>
      <c r="B270" s="1">
        <v>2012</v>
      </c>
      <c r="C270" s="1">
        <v>-73.541960000000003</v>
      </c>
      <c r="D270" s="1" t="s">
        <v>19</v>
      </c>
    </row>
    <row r="271" spans="1:4" x14ac:dyDescent="0.25">
      <c r="A271" s="1">
        <v>243.41831999999999</v>
      </c>
      <c r="B271" s="1">
        <v>2015</v>
      </c>
      <c r="C271" s="1">
        <v>-75.225876</v>
      </c>
      <c r="D271" s="1" t="s">
        <v>19</v>
      </c>
    </row>
    <row r="272" spans="1:4" x14ac:dyDescent="0.25">
      <c r="A272" s="1">
        <v>384.13630000000001</v>
      </c>
      <c r="B272" s="1">
        <v>2010</v>
      </c>
      <c r="C272" s="1">
        <v>86.917450000000002</v>
      </c>
      <c r="D272" s="1" t="s">
        <v>20</v>
      </c>
    </row>
    <row r="273" spans="1:4" x14ac:dyDescent="0.25">
      <c r="A273" s="1">
        <v>375.09998000000002</v>
      </c>
      <c r="B273" s="1">
        <v>2008</v>
      </c>
      <c r="C273" s="1">
        <v>77.881134000000003</v>
      </c>
      <c r="D273" s="1" t="s">
        <v>20</v>
      </c>
    </row>
    <row r="274" spans="1:4" x14ac:dyDescent="0.25">
      <c r="A274" s="1">
        <v>360.91469999999998</v>
      </c>
      <c r="B274" s="1">
        <v>2006</v>
      </c>
      <c r="C274" s="1">
        <v>63.695860000000003</v>
      </c>
      <c r="D274" s="1" t="s">
        <v>20</v>
      </c>
    </row>
    <row r="275" spans="1:4" x14ac:dyDescent="0.25">
      <c r="A275" s="1">
        <v>353.62795999999997</v>
      </c>
      <c r="B275" s="1">
        <v>1987</v>
      </c>
      <c r="C275" s="1">
        <v>56.409120000000001</v>
      </c>
      <c r="D275" s="1" t="s">
        <v>20</v>
      </c>
    </row>
    <row r="276" spans="1:4" x14ac:dyDescent="0.25">
      <c r="A276" s="1">
        <v>344.53307999999998</v>
      </c>
      <c r="B276" s="1">
        <v>2011</v>
      </c>
      <c r="C276" s="1">
        <v>47.314239999999998</v>
      </c>
      <c r="D276" s="1" t="s">
        <v>20</v>
      </c>
    </row>
    <row r="277" spans="1:4" x14ac:dyDescent="0.25">
      <c r="A277" s="1">
        <v>340.25873000000001</v>
      </c>
      <c r="B277" s="1">
        <v>2002</v>
      </c>
      <c r="C277" s="1">
        <v>43.039886000000003</v>
      </c>
      <c r="D277" s="1" t="s">
        <v>20</v>
      </c>
    </row>
    <row r="278" spans="1:4" x14ac:dyDescent="0.25">
      <c r="A278" s="1">
        <v>337.63740000000001</v>
      </c>
      <c r="B278" s="1">
        <v>2003</v>
      </c>
      <c r="C278" s="1">
        <v>40.418550000000003</v>
      </c>
      <c r="D278" s="1" t="s">
        <v>20</v>
      </c>
    </row>
    <row r="279" spans="1:4" x14ac:dyDescent="0.25">
      <c r="A279" s="1">
        <v>336.08102000000002</v>
      </c>
      <c r="B279" s="1">
        <v>2017</v>
      </c>
      <c r="C279" s="1">
        <v>38.862183000000002</v>
      </c>
      <c r="D279" s="1" t="s">
        <v>20</v>
      </c>
    </row>
    <row r="280" spans="1:4" x14ac:dyDescent="0.25">
      <c r="A280" s="1">
        <v>331.00583</v>
      </c>
      <c r="B280" s="1">
        <v>1995</v>
      </c>
      <c r="C280" s="1">
        <v>33.786987000000003</v>
      </c>
      <c r="D280" s="1" t="s">
        <v>20</v>
      </c>
    </row>
    <row r="281" spans="1:4" x14ac:dyDescent="0.25">
      <c r="A281" s="1">
        <v>327.15552000000002</v>
      </c>
      <c r="B281" s="1">
        <v>1998</v>
      </c>
      <c r="C281" s="1">
        <v>29.936675999999999</v>
      </c>
      <c r="D281" s="1" t="s">
        <v>20</v>
      </c>
    </row>
    <row r="282" spans="1:4" x14ac:dyDescent="0.25">
      <c r="A282" s="1">
        <v>325.19765999999998</v>
      </c>
      <c r="B282" s="1">
        <v>1988</v>
      </c>
      <c r="C282" s="1">
        <v>27.978819999999999</v>
      </c>
      <c r="D282" s="1" t="s">
        <v>20</v>
      </c>
    </row>
    <row r="283" spans="1:4" x14ac:dyDescent="0.25">
      <c r="A283" s="1">
        <v>324.9468</v>
      </c>
      <c r="B283" s="1">
        <v>1984</v>
      </c>
      <c r="C283" s="1">
        <v>27.727965999999999</v>
      </c>
      <c r="D283" s="1" t="s">
        <v>20</v>
      </c>
    </row>
    <row r="284" spans="1:4" x14ac:dyDescent="0.25">
      <c r="A284" s="1">
        <v>324.49083999999999</v>
      </c>
      <c r="B284" s="1">
        <v>2016</v>
      </c>
      <c r="C284" s="1">
        <v>27.272003000000002</v>
      </c>
      <c r="D284" s="1" t="s">
        <v>20</v>
      </c>
    </row>
    <row r="285" spans="1:4" x14ac:dyDescent="0.25">
      <c r="A285" s="1">
        <v>320.53757000000002</v>
      </c>
      <c r="B285" s="1">
        <v>1989</v>
      </c>
      <c r="C285" s="1">
        <v>23.318726000000002</v>
      </c>
      <c r="D285" s="1" t="s">
        <v>20</v>
      </c>
    </row>
    <row r="286" spans="1:4" x14ac:dyDescent="0.25">
      <c r="A286" s="1">
        <v>315.44607999999999</v>
      </c>
      <c r="B286" s="1">
        <v>2013</v>
      </c>
      <c r="C286" s="1">
        <v>18.227233999999999</v>
      </c>
      <c r="D286" s="1" t="s">
        <v>20</v>
      </c>
    </row>
    <row r="287" spans="1:4" x14ac:dyDescent="0.25">
      <c r="A287" s="1">
        <v>308.05110000000002</v>
      </c>
      <c r="B287" s="1">
        <v>1996</v>
      </c>
      <c r="C287" s="1">
        <v>10.832245</v>
      </c>
      <c r="D287" s="1" t="s">
        <v>20</v>
      </c>
    </row>
    <row r="288" spans="1:4" x14ac:dyDescent="0.25">
      <c r="A288" s="1">
        <v>303.59915000000001</v>
      </c>
      <c r="B288" s="1">
        <v>2021</v>
      </c>
      <c r="C288" s="1">
        <v>6.3803099999999997</v>
      </c>
      <c r="D288" s="1" t="s">
        <v>20</v>
      </c>
    </row>
    <row r="289" spans="1:4" x14ac:dyDescent="0.25">
      <c r="A289" s="1">
        <v>300.92397999999997</v>
      </c>
      <c r="B289" s="1">
        <v>1981</v>
      </c>
      <c r="C289" s="1">
        <v>3.7051392000000001</v>
      </c>
      <c r="D289" s="1" t="s">
        <v>20</v>
      </c>
    </row>
    <row r="290" spans="1:4" x14ac:dyDescent="0.25">
      <c r="A290" s="1">
        <v>300.08463</v>
      </c>
      <c r="B290" s="1">
        <v>2012</v>
      </c>
      <c r="C290" s="1">
        <v>2.8657837000000002</v>
      </c>
      <c r="D290" s="1" t="s">
        <v>20</v>
      </c>
    </row>
    <row r="291" spans="1:4" x14ac:dyDescent="0.25">
      <c r="A291" s="1">
        <v>299.97539999999998</v>
      </c>
      <c r="B291" s="1">
        <v>2004</v>
      </c>
      <c r="C291" s="1">
        <v>2.7565613</v>
      </c>
      <c r="D291" s="1" t="s">
        <v>20</v>
      </c>
    </row>
    <row r="292" spans="1:4" x14ac:dyDescent="0.25">
      <c r="A292" s="1">
        <v>298.02843999999999</v>
      </c>
      <c r="B292" s="1">
        <v>2024</v>
      </c>
      <c r="C292" s="1">
        <v>0.80960083000000005</v>
      </c>
      <c r="D292" s="1" t="s">
        <v>20</v>
      </c>
    </row>
    <row r="293" spans="1:4" x14ac:dyDescent="0.25">
      <c r="A293" s="1">
        <v>295.58553999999998</v>
      </c>
      <c r="B293" s="1">
        <v>1992</v>
      </c>
      <c r="C293" s="1">
        <v>-1.6333008</v>
      </c>
      <c r="D293" s="1" t="s">
        <v>20</v>
      </c>
    </row>
    <row r="294" spans="1:4" x14ac:dyDescent="0.25">
      <c r="A294" s="1">
        <v>293.31842</v>
      </c>
      <c r="B294" s="1">
        <v>1990</v>
      </c>
      <c r="C294" s="1">
        <v>-3.9004211</v>
      </c>
      <c r="D294" s="1" t="s">
        <v>20</v>
      </c>
    </row>
    <row r="295" spans="1:4" x14ac:dyDescent="0.25">
      <c r="A295" s="1">
        <v>292.86966000000001</v>
      </c>
      <c r="B295" s="1">
        <v>1991</v>
      </c>
      <c r="C295" s="1">
        <v>-4.3491819999999999</v>
      </c>
      <c r="D295" s="1" t="s">
        <v>20</v>
      </c>
    </row>
    <row r="296" spans="1:4" x14ac:dyDescent="0.25">
      <c r="A296" s="1">
        <v>292.09206999999998</v>
      </c>
      <c r="B296" s="1">
        <v>2005</v>
      </c>
      <c r="C296" s="1">
        <v>-5.1267699999999996</v>
      </c>
      <c r="D296" s="1" t="s">
        <v>20</v>
      </c>
    </row>
    <row r="297" spans="1:4" x14ac:dyDescent="0.25">
      <c r="A297" s="1">
        <v>290.27050000000003</v>
      </c>
      <c r="B297" s="1">
        <v>2007</v>
      </c>
      <c r="C297" s="1">
        <v>-6.9483337000000001</v>
      </c>
      <c r="D297" s="1" t="s">
        <v>20</v>
      </c>
    </row>
    <row r="298" spans="1:4" x14ac:dyDescent="0.25">
      <c r="A298" s="1">
        <v>289.45675999999997</v>
      </c>
      <c r="B298" s="1">
        <v>1999</v>
      </c>
      <c r="C298" s="1">
        <v>-7.7620849999999999</v>
      </c>
      <c r="D298" s="1" t="s">
        <v>20</v>
      </c>
    </row>
    <row r="299" spans="1:4" x14ac:dyDescent="0.25">
      <c r="A299" s="1">
        <v>287.83704</v>
      </c>
      <c r="B299" s="1">
        <v>2023</v>
      </c>
      <c r="C299" s="1">
        <v>-9.3818049999999999</v>
      </c>
      <c r="D299" s="1" t="s">
        <v>20</v>
      </c>
    </row>
    <row r="300" spans="1:4" x14ac:dyDescent="0.25">
      <c r="A300" s="1">
        <v>282.88977</v>
      </c>
      <c r="B300" s="1">
        <v>2018</v>
      </c>
      <c r="C300" s="1">
        <v>-14.329071000000001</v>
      </c>
      <c r="D300" s="1" t="s">
        <v>20</v>
      </c>
    </row>
    <row r="301" spans="1:4" x14ac:dyDescent="0.25">
      <c r="A301" s="1">
        <v>282.83114999999998</v>
      </c>
      <c r="B301" s="1">
        <v>2000</v>
      </c>
      <c r="C301" s="1">
        <v>-14.387695000000001</v>
      </c>
      <c r="D301" s="1" t="s">
        <v>20</v>
      </c>
    </row>
    <row r="302" spans="1:4" x14ac:dyDescent="0.25">
      <c r="A302" s="1">
        <v>279.86743000000001</v>
      </c>
      <c r="B302" s="1">
        <v>2022</v>
      </c>
      <c r="C302" s="1">
        <v>-17.351410000000001</v>
      </c>
      <c r="D302" s="1" t="s">
        <v>20</v>
      </c>
    </row>
    <row r="303" spans="1:4" x14ac:dyDescent="0.25">
      <c r="A303" s="1">
        <v>276.93830000000003</v>
      </c>
      <c r="B303" s="1">
        <v>1985</v>
      </c>
      <c r="C303" s="1">
        <v>-20.280548</v>
      </c>
      <c r="D303" s="1" t="s">
        <v>20</v>
      </c>
    </row>
    <row r="304" spans="1:4" x14ac:dyDescent="0.25">
      <c r="A304" s="1">
        <v>276.37966999999998</v>
      </c>
      <c r="B304" s="1">
        <v>1994</v>
      </c>
      <c r="C304" s="1">
        <v>-20.839172000000001</v>
      </c>
      <c r="D304" s="1" t="s">
        <v>20</v>
      </c>
    </row>
    <row r="305" spans="1:4" x14ac:dyDescent="0.25">
      <c r="A305" s="1">
        <v>276.28750000000002</v>
      </c>
      <c r="B305" s="1">
        <v>1982</v>
      </c>
      <c r="C305" s="1">
        <v>-20.931335000000001</v>
      </c>
      <c r="D305" s="1" t="s">
        <v>20</v>
      </c>
    </row>
    <row r="306" spans="1:4" x14ac:dyDescent="0.25">
      <c r="A306" s="1">
        <v>271.15012000000002</v>
      </c>
      <c r="B306" s="1">
        <v>1983</v>
      </c>
      <c r="C306" s="1">
        <v>-26.068726000000002</v>
      </c>
      <c r="D306" s="1" t="s">
        <v>20</v>
      </c>
    </row>
    <row r="307" spans="1:4" x14ac:dyDescent="0.25">
      <c r="A307" s="1">
        <v>264.19961999999998</v>
      </c>
      <c r="B307" s="1">
        <v>2025</v>
      </c>
      <c r="C307" s="1">
        <v>-33.019226000000003</v>
      </c>
      <c r="D307" s="1" t="s">
        <v>20</v>
      </c>
    </row>
    <row r="308" spans="1:4" x14ac:dyDescent="0.25">
      <c r="A308" s="1">
        <v>263.38528000000002</v>
      </c>
      <c r="B308" s="1">
        <v>2001</v>
      </c>
      <c r="C308" s="1">
        <v>-33.833556999999999</v>
      </c>
      <c r="D308" s="1" t="s">
        <v>20</v>
      </c>
    </row>
    <row r="309" spans="1:4" x14ac:dyDescent="0.25">
      <c r="A309" s="1">
        <v>262.84636999999998</v>
      </c>
      <c r="B309" s="1">
        <v>2009</v>
      </c>
      <c r="C309" s="1">
        <v>-34.372467</v>
      </c>
      <c r="D309" s="1" t="s">
        <v>20</v>
      </c>
    </row>
    <row r="310" spans="1:4" x14ac:dyDescent="0.25">
      <c r="A310" s="1">
        <v>255.26889</v>
      </c>
      <c r="B310" s="1">
        <v>2020</v>
      </c>
      <c r="C310" s="1">
        <v>-41.949950000000001</v>
      </c>
      <c r="D310" s="1" t="s">
        <v>20</v>
      </c>
    </row>
    <row r="311" spans="1:4" x14ac:dyDescent="0.25">
      <c r="A311" s="1">
        <v>254.50862000000001</v>
      </c>
      <c r="B311" s="1">
        <v>2019</v>
      </c>
      <c r="C311" s="1">
        <v>-42.71022</v>
      </c>
      <c r="D311" s="1" t="s">
        <v>20</v>
      </c>
    </row>
    <row r="312" spans="1:4" x14ac:dyDescent="0.25">
      <c r="A312" s="1">
        <v>245.72756999999999</v>
      </c>
      <c r="B312" s="1">
        <v>2015</v>
      </c>
      <c r="C312" s="1">
        <v>-51.491272000000002</v>
      </c>
      <c r="D312" s="1" t="s">
        <v>20</v>
      </c>
    </row>
    <row r="313" spans="1:4" x14ac:dyDescent="0.25">
      <c r="A313" s="1">
        <v>236.36233999999999</v>
      </c>
      <c r="B313" s="1">
        <v>1993</v>
      </c>
      <c r="C313" s="1">
        <v>-60.856506000000003</v>
      </c>
      <c r="D313" s="1" t="s">
        <v>20</v>
      </c>
    </row>
    <row r="314" spans="1:4" x14ac:dyDescent="0.25">
      <c r="A314" s="1">
        <v>231.09157999999999</v>
      </c>
      <c r="B314" s="1">
        <v>1986</v>
      </c>
      <c r="C314" s="1">
        <v>-66.127260000000007</v>
      </c>
      <c r="D314" s="1" t="s">
        <v>20</v>
      </c>
    </row>
    <row r="315" spans="1:4" x14ac:dyDescent="0.25">
      <c r="A315" s="1">
        <v>218.43191999999999</v>
      </c>
      <c r="B315" s="1">
        <v>1997</v>
      </c>
      <c r="C315" s="1">
        <v>-78.786929999999998</v>
      </c>
      <c r="D315" s="1" t="s">
        <v>20</v>
      </c>
    </row>
    <row r="316" spans="1:4" x14ac:dyDescent="0.25">
      <c r="A316" s="1">
        <v>192.78855999999999</v>
      </c>
      <c r="B316" s="1">
        <v>2014</v>
      </c>
      <c r="C316" s="1">
        <v>-104.43028</v>
      </c>
      <c r="D316" s="1" t="s">
        <v>20</v>
      </c>
    </row>
    <row r="317" spans="1:4" x14ac:dyDescent="0.25">
      <c r="A317" s="1">
        <v>433.01137999999997</v>
      </c>
      <c r="B317" s="1">
        <v>2010</v>
      </c>
      <c r="C317" s="1">
        <v>106.41168</v>
      </c>
      <c r="D317" s="1" t="s">
        <v>21</v>
      </c>
    </row>
    <row r="318" spans="1:4" x14ac:dyDescent="0.25">
      <c r="A318" s="1">
        <v>416.49036000000001</v>
      </c>
      <c r="B318" s="1">
        <v>1988</v>
      </c>
      <c r="C318" s="1">
        <v>89.890656000000007</v>
      </c>
      <c r="D318" s="1" t="s">
        <v>21</v>
      </c>
    </row>
    <row r="319" spans="1:4" x14ac:dyDescent="0.25">
      <c r="A319" s="1">
        <v>403.6705</v>
      </c>
      <c r="B319" s="1">
        <v>1999</v>
      </c>
      <c r="C319" s="1">
        <v>77.070800000000006</v>
      </c>
      <c r="D319" s="1" t="s">
        <v>21</v>
      </c>
    </row>
    <row r="320" spans="1:4" x14ac:dyDescent="0.25">
      <c r="A320" s="1">
        <v>394.81130000000002</v>
      </c>
      <c r="B320" s="1">
        <v>1984</v>
      </c>
      <c r="C320" s="1">
        <v>68.211609999999993</v>
      </c>
      <c r="D320" s="1" t="s">
        <v>21</v>
      </c>
    </row>
    <row r="321" spans="1:4" x14ac:dyDescent="0.25">
      <c r="A321" s="1">
        <v>383.18975999999998</v>
      </c>
      <c r="B321" s="1">
        <v>2005</v>
      </c>
      <c r="C321" s="1">
        <v>56.590057000000002</v>
      </c>
      <c r="D321" s="1" t="s">
        <v>21</v>
      </c>
    </row>
    <row r="322" spans="1:4" x14ac:dyDescent="0.25">
      <c r="A322" s="1">
        <v>380.15839999999997</v>
      </c>
      <c r="B322" s="1">
        <v>2007</v>
      </c>
      <c r="C322" s="1">
        <v>53.558684999999997</v>
      </c>
      <c r="D322" s="1" t="s">
        <v>21</v>
      </c>
    </row>
    <row r="323" spans="1:4" x14ac:dyDescent="0.25">
      <c r="A323" s="1">
        <v>366.12844999999999</v>
      </c>
      <c r="B323" s="1">
        <v>1981</v>
      </c>
      <c r="C323" s="1">
        <v>39.528748</v>
      </c>
      <c r="D323" s="1" t="s">
        <v>21</v>
      </c>
    </row>
    <row r="324" spans="1:4" x14ac:dyDescent="0.25">
      <c r="A324" s="1">
        <v>364.13904000000002</v>
      </c>
      <c r="B324" s="1">
        <v>1990</v>
      </c>
      <c r="C324" s="1">
        <v>37.539337000000003</v>
      </c>
      <c r="D324" s="1" t="s">
        <v>21</v>
      </c>
    </row>
    <row r="325" spans="1:4" x14ac:dyDescent="0.25">
      <c r="A325" s="1">
        <v>362.57569999999998</v>
      </c>
      <c r="B325" s="1">
        <v>1998</v>
      </c>
      <c r="C325" s="1">
        <v>35.976013000000002</v>
      </c>
      <c r="D325" s="1" t="s">
        <v>21</v>
      </c>
    </row>
    <row r="326" spans="1:4" x14ac:dyDescent="0.25">
      <c r="A326" s="1">
        <v>357.01028000000002</v>
      </c>
      <c r="B326" s="1">
        <v>1989</v>
      </c>
      <c r="C326" s="1">
        <v>30.410582999999999</v>
      </c>
      <c r="D326" s="1" t="s">
        <v>21</v>
      </c>
    </row>
    <row r="327" spans="1:4" x14ac:dyDescent="0.25">
      <c r="A327" s="1">
        <v>356.98083000000003</v>
      </c>
      <c r="B327" s="1">
        <v>2002</v>
      </c>
      <c r="C327" s="1">
        <v>30.381133999999999</v>
      </c>
      <c r="D327" s="1" t="s">
        <v>21</v>
      </c>
    </row>
    <row r="328" spans="1:4" x14ac:dyDescent="0.25">
      <c r="A328" s="1">
        <v>353.67563000000001</v>
      </c>
      <c r="B328" s="1">
        <v>2020</v>
      </c>
      <c r="C328" s="1">
        <v>27.075928000000001</v>
      </c>
      <c r="D328" s="1" t="s">
        <v>21</v>
      </c>
    </row>
    <row r="329" spans="1:4" x14ac:dyDescent="0.25">
      <c r="A329" s="1">
        <v>350.06436000000002</v>
      </c>
      <c r="B329" s="1">
        <v>2021</v>
      </c>
      <c r="C329" s="1">
        <v>23.464659999999999</v>
      </c>
      <c r="D329" s="1" t="s">
        <v>21</v>
      </c>
    </row>
    <row r="330" spans="1:4" x14ac:dyDescent="0.25">
      <c r="A330" s="1">
        <v>342.5412</v>
      </c>
      <c r="B330" s="1">
        <v>2008</v>
      </c>
      <c r="C330" s="1">
        <v>15.941497999999999</v>
      </c>
      <c r="D330" s="1" t="s">
        <v>21</v>
      </c>
    </row>
    <row r="331" spans="1:4" x14ac:dyDescent="0.25">
      <c r="A331" s="1">
        <v>340.01609999999999</v>
      </c>
      <c r="B331" s="1">
        <v>2003</v>
      </c>
      <c r="C331" s="1">
        <v>13.416411999999999</v>
      </c>
      <c r="D331" s="1" t="s">
        <v>21</v>
      </c>
    </row>
    <row r="332" spans="1:4" x14ac:dyDescent="0.25">
      <c r="A332" s="1">
        <v>337.74810000000002</v>
      </c>
      <c r="B332" s="1">
        <v>1987</v>
      </c>
      <c r="C332" s="1">
        <v>11.148407000000001</v>
      </c>
      <c r="D332" s="1" t="s">
        <v>21</v>
      </c>
    </row>
    <row r="333" spans="1:4" x14ac:dyDescent="0.25">
      <c r="A333" s="1">
        <v>336.07641999999998</v>
      </c>
      <c r="B333" s="1">
        <v>2024</v>
      </c>
      <c r="C333" s="1">
        <v>9.4767150000000004</v>
      </c>
      <c r="D333" s="1" t="s">
        <v>21</v>
      </c>
    </row>
    <row r="334" spans="1:4" x14ac:dyDescent="0.25">
      <c r="A334" s="1">
        <v>335.87862999999999</v>
      </c>
      <c r="B334" s="1">
        <v>1994</v>
      </c>
      <c r="C334" s="1">
        <v>9.278931</v>
      </c>
      <c r="D334" s="1" t="s">
        <v>21</v>
      </c>
    </row>
    <row r="335" spans="1:4" x14ac:dyDescent="0.25">
      <c r="A335" s="1">
        <v>332.50567999999998</v>
      </c>
      <c r="B335" s="1">
        <v>2009</v>
      </c>
      <c r="C335" s="1">
        <v>5.9059752999999997</v>
      </c>
      <c r="D335" s="1" t="s">
        <v>21</v>
      </c>
    </row>
    <row r="336" spans="1:4" x14ac:dyDescent="0.25">
      <c r="A336" s="1">
        <v>332.46690000000001</v>
      </c>
      <c r="B336" s="1">
        <v>2022</v>
      </c>
      <c r="C336" s="1">
        <v>5.8671875</v>
      </c>
      <c r="D336" s="1" t="s">
        <v>21</v>
      </c>
    </row>
    <row r="337" spans="1:4" x14ac:dyDescent="0.25">
      <c r="A337" s="1">
        <v>332.34440000000001</v>
      </c>
      <c r="B337" s="1">
        <v>1996</v>
      </c>
      <c r="C337" s="1">
        <v>5.7446900000000003</v>
      </c>
      <c r="D337" s="1" t="s">
        <v>21</v>
      </c>
    </row>
    <row r="338" spans="1:4" x14ac:dyDescent="0.25">
      <c r="A338" s="1">
        <v>329.17962999999997</v>
      </c>
      <c r="B338" s="1">
        <v>2013</v>
      </c>
      <c r="C338" s="1">
        <v>2.5799254999999999</v>
      </c>
      <c r="D338" s="1" t="s">
        <v>21</v>
      </c>
    </row>
    <row r="339" spans="1:4" x14ac:dyDescent="0.25">
      <c r="A339" s="1">
        <v>329.14276000000001</v>
      </c>
      <c r="B339" s="1">
        <v>1992</v>
      </c>
      <c r="C339" s="1">
        <v>2.5430603000000001</v>
      </c>
      <c r="D339" s="1" t="s">
        <v>21</v>
      </c>
    </row>
    <row r="340" spans="1:4" x14ac:dyDescent="0.25">
      <c r="A340" s="1">
        <v>327.99880000000002</v>
      </c>
      <c r="B340" s="1">
        <v>2006</v>
      </c>
      <c r="C340" s="1">
        <v>1.3991089000000001</v>
      </c>
      <c r="D340" s="1" t="s">
        <v>21</v>
      </c>
    </row>
    <row r="341" spans="1:4" x14ac:dyDescent="0.25">
      <c r="A341" s="1">
        <v>326.71697999999998</v>
      </c>
      <c r="B341" s="1">
        <v>2016</v>
      </c>
      <c r="C341" s="1">
        <v>0.11727905</v>
      </c>
      <c r="D341" s="1" t="s">
        <v>21</v>
      </c>
    </row>
    <row r="342" spans="1:4" x14ac:dyDescent="0.25">
      <c r="A342" s="1">
        <v>325.44272000000001</v>
      </c>
      <c r="B342" s="1">
        <v>1985</v>
      </c>
      <c r="C342" s="1">
        <v>-1.1569824</v>
      </c>
      <c r="D342" s="1" t="s">
        <v>21</v>
      </c>
    </row>
    <row r="343" spans="1:4" x14ac:dyDescent="0.25">
      <c r="A343" s="1">
        <v>325.13085999999998</v>
      </c>
      <c r="B343" s="1">
        <v>1993</v>
      </c>
      <c r="C343" s="1">
        <v>-1.4688416</v>
      </c>
      <c r="D343" s="1" t="s">
        <v>21</v>
      </c>
    </row>
    <row r="344" spans="1:4" x14ac:dyDescent="0.25">
      <c r="A344" s="1">
        <v>324.6728</v>
      </c>
      <c r="B344" s="1">
        <v>1995</v>
      </c>
      <c r="C344" s="1">
        <v>-1.9269103999999999</v>
      </c>
      <c r="D344" s="1" t="s">
        <v>21</v>
      </c>
    </row>
    <row r="345" spans="1:4" x14ac:dyDescent="0.25">
      <c r="A345" s="1">
        <v>321.19556</v>
      </c>
      <c r="B345" s="1">
        <v>1986</v>
      </c>
      <c r="C345" s="1">
        <v>-5.4041442999999996</v>
      </c>
      <c r="D345" s="1" t="s">
        <v>21</v>
      </c>
    </row>
    <row r="346" spans="1:4" x14ac:dyDescent="0.25">
      <c r="A346" s="1">
        <v>319.91144000000003</v>
      </c>
      <c r="B346" s="1">
        <v>2000</v>
      </c>
      <c r="C346" s="1">
        <v>-6.6882630000000001</v>
      </c>
      <c r="D346" s="1" t="s">
        <v>21</v>
      </c>
    </row>
    <row r="347" spans="1:4" x14ac:dyDescent="0.25">
      <c r="A347" s="1">
        <v>318.54788000000002</v>
      </c>
      <c r="B347" s="1">
        <v>2001</v>
      </c>
      <c r="C347" s="1">
        <v>-8.0518190000000001</v>
      </c>
      <c r="D347" s="1" t="s">
        <v>21</v>
      </c>
    </row>
    <row r="348" spans="1:4" x14ac:dyDescent="0.25">
      <c r="A348" s="1">
        <v>315.4545</v>
      </c>
      <c r="B348" s="1">
        <v>2004</v>
      </c>
      <c r="C348" s="1">
        <v>-11.145203</v>
      </c>
      <c r="D348" s="1" t="s">
        <v>21</v>
      </c>
    </row>
    <row r="349" spans="1:4" x14ac:dyDescent="0.25">
      <c r="A349" s="1">
        <v>313.14992999999998</v>
      </c>
      <c r="B349" s="1">
        <v>2011</v>
      </c>
      <c r="C349" s="1">
        <v>-13.449768000000001</v>
      </c>
      <c r="D349" s="1" t="s">
        <v>21</v>
      </c>
    </row>
    <row r="350" spans="1:4" x14ac:dyDescent="0.25">
      <c r="A350" s="1">
        <v>311.61016999999998</v>
      </c>
      <c r="B350" s="1">
        <v>2017</v>
      </c>
      <c r="C350" s="1">
        <v>-14.989532000000001</v>
      </c>
      <c r="D350" s="1" t="s">
        <v>21</v>
      </c>
    </row>
    <row r="351" spans="1:4" x14ac:dyDescent="0.25">
      <c r="A351" s="1">
        <v>310.53924999999998</v>
      </c>
      <c r="B351" s="1">
        <v>1991</v>
      </c>
      <c r="C351" s="1">
        <v>-16.060455000000001</v>
      </c>
      <c r="D351" s="1" t="s">
        <v>21</v>
      </c>
    </row>
    <row r="352" spans="1:4" x14ac:dyDescent="0.25">
      <c r="A352" s="1">
        <v>306.65964000000002</v>
      </c>
      <c r="B352" s="1">
        <v>2012</v>
      </c>
      <c r="C352" s="1">
        <v>-19.940062999999999</v>
      </c>
      <c r="D352" s="1" t="s">
        <v>21</v>
      </c>
    </row>
    <row r="353" spans="1:4" x14ac:dyDescent="0.25">
      <c r="A353" s="1">
        <v>295.49286000000001</v>
      </c>
      <c r="B353" s="1">
        <v>2025</v>
      </c>
      <c r="C353" s="1">
        <v>-31.106842</v>
      </c>
      <c r="D353" s="1" t="s">
        <v>21</v>
      </c>
    </row>
    <row r="354" spans="1:4" x14ac:dyDescent="0.25">
      <c r="A354" s="1">
        <v>290.94515999999999</v>
      </c>
      <c r="B354" s="1">
        <v>2019</v>
      </c>
      <c r="C354" s="1">
        <v>-35.654539999999997</v>
      </c>
      <c r="D354" s="1" t="s">
        <v>21</v>
      </c>
    </row>
    <row r="355" spans="1:4" x14ac:dyDescent="0.25">
      <c r="A355" s="1">
        <v>286.34985</v>
      </c>
      <c r="B355" s="1">
        <v>2014</v>
      </c>
      <c r="C355" s="1">
        <v>-40.249847000000003</v>
      </c>
      <c r="D355" s="1" t="s">
        <v>21</v>
      </c>
    </row>
    <row r="356" spans="1:4" x14ac:dyDescent="0.25">
      <c r="A356" s="1">
        <v>264.25006000000002</v>
      </c>
      <c r="B356" s="1">
        <v>1983</v>
      </c>
      <c r="C356" s="1">
        <v>-62.349640000000001</v>
      </c>
      <c r="D356" s="1" t="s">
        <v>21</v>
      </c>
    </row>
    <row r="357" spans="1:4" x14ac:dyDescent="0.25">
      <c r="A357" s="1">
        <v>256.55040000000002</v>
      </c>
      <c r="B357" s="1">
        <v>2023</v>
      </c>
      <c r="C357" s="1">
        <v>-70.049285999999995</v>
      </c>
      <c r="D357" s="1" t="s">
        <v>21</v>
      </c>
    </row>
    <row r="358" spans="1:4" x14ac:dyDescent="0.25">
      <c r="A358" s="1">
        <v>241.63086000000001</v>
      </c>
      <c r="B358" s="1">
        <v>2018</v>
      </c>
      <c r="C358" s="1">
        <v>-84.96884</v>
      </c>
      <c r="D358" s="1" t="s">
        <v>21</v>
      </c>
    </row>
    <row r="359" spans="1:4" x14ac:dyDescent="0.25">
      <c r="A359" s="1">
        <v>241.50899000000001</v>
      </c>
      <c r="B359" s="1">
        <v>2015</v>
      </c>
      <c r="C359" s="1">
        <v>-85.090710000000001</v>
      </c>
      <c r="D359" s="1" t="s">
        <v>21</v>
      </c>
    </row>
    <row r="360" spans="1:4" x14ac:dyDescent="0.25">
      <c r="A360" s="1">
        <v>240.60686000000001</v>
      </c>
      <c r="B360" s="1">
        <v>1982</v>
      </c>
      <c r="C360" s="1">
        <v>-85.992840000000001</v>
      </c>
      <c r="D360" s="1" t="s">
        <v>21</v>
      </c>
    </row>
    <row r="361" spans="1:4" x14ac:dyDescent="0.25">
      <c r="A361" s="1">
        <v>222.29355000000001</v>
      </c>
      <c r="B361" s="1">
        <v>1997</v>
      </c>
      <c r="C361" s="1">
        <v>-104.30615</v>
      </c>
      <c r="D361" s="1" t="s">
        <v>21</v>
      </c>
    </row>
    <row r="362" spans="1:4" x14ac:dyDescent="0.25">
      <c r="A362" s="1">
        <v>291.67657000000003</v>
      </c>
      <c r="B362" s="1">
        <v>1981</v>
      </c>
      <c r="C362" s="1">
        <v>-60.690125000000002</v>
      </c>
      <c r="D362" s="1" t="s">
        <v>22</v>
      </c>
    </row>
    <row r="363" spans="1:4" x14ac:dyDescent="0.25">
      <c r="A363" s="1">
        <v>332.40949999999998</v>
      </c>
      <c r="B363" s="1">
        <v>1982</v>
      </c>
      <c r="C363" s="1">
        <v>-19.957214</v>
      </c>
      <c r="D363" s="1" t="s">
        <v>22</v>
      </c>
    </row>
    <row r="364" spans="1:4" x14ac:dyDescent="0.25">
      <c r="A364" s="1">
        <v>384.92752000000002</v>
      </c>
      <c r="B364" s="1">
        <v>1983</v>
      </c>
      <c r="C364" s="1">
        <v>32.56082</v>
      </c>
      <c r="D364" s="1" t="s">
        <v>22</v>
      </c>
    </row>
    <row r="365" spans="1:4" x14ac:dyDescent="0.25">
      <c r="A365" s="1">
        <v>381.66262999999998</v>
      </c>
      <c r="B365" s="1">
        <v>1984</v>
      </c>
      <c r="C365" s="1">
        <v>29.295929000000001</v>
      </c>
      <c r="D365" s="1" t="s">
        <v>22</v>
      </c>
    </row>
    <row r="366" spans="1:4" x14ac:dyDescent="0.25">
      <c r="A366" s="1">
        <v>336.99135999999999</v>
      </c>
      <c r="B366" s="1">
        <v>1985</v>
      </c>
      <c r="C366" s="1">
        <v>-15.375336000000001</v>
      </c>
      <c r="D366" s="1" t="s">
        <v>22</v>
      </c>
    </row>
    <row r="367" spans="1:4" x14ac:dyDescent="0.25">
      <c r="A367" s="1">
        <v>347.18155000000002</v>
      </c>
      <c r="B367" s="1">
        <v>1986</v>
      </c>
      <c r="C367" s="1">
        <v>-5.1851500000000001</v>
      </c>
      <c r="D367" s="1" t="s">
        <v>22</v>
      </c>
    </row>
    <row r="368" spans="1:4" x14ac:dyDescent="0.25">
      <c r="A368" s="1">
        <v>331.07742000000002</v>
      </c>
      <c r="B368" s="1">
        <v>1987</v>
      </c>
      <c r="C368" s="1">
        <v>-21.289276000000001</v>
      </c>
      <c r="D368" s="1" t="s">
        <v>22</v>
      </c>
    </row>
    <row r="369" spans="1:4" x14ac:dyDescent="0.25">
      <c r="A369" s="1">
        <v>393.68340000000001</v>
      </c>
      <c r="B369" s="1">
        <v>1988</v>
      </c>
      <c r="C369" s="1">
        <v>41.31671</v>
      </c>
      <c r="D369" s="1" t="s">
        <v>22</v>
      </c>
    </row>
    <row r="370" spans="1:4" x14ac:dyDescent="0.25">
      <c r="A370" s="1">
        <v>375.17043999999999</v>
      </c>
      <c r="B370" s="1">
        <v>1989</v>
      </c>
      <c r="C370" s="1">
        <v>22.803740999999999</v>
      </c>
      <c r="D370" s="1" t="s">
        <v>22</v>
      </c>
    </row>
    <row r="371" spans="1:4" x14ac:dyDescent="0.25">
      <c r="A371" s="1">
        <v>355.55630000000002</v>
      </c>
      <c r="B371" s="1">
        <v>1990</v>
      </c>
      <c r="C371" s="1">
        <v>3.1896057</v>
      </c>
      <c r="D371" s="1" t="s">
        <v>22</v>
      </c>
    </row>
    <row r="372" spans="1:4" x14ac:dyDescent="0.25">
      <c r="A372" s="1">
        <v>409.84793000000002</v>
      </c>
      <c r="B372" s="1">
        <v>1991</v>
      </c>
      <c r="C372" s="1">
        <v>57.481229999999996</v>
      </c>
      <c r="D372" s="1" t="s">
        <v>22</v>
      </c>
    </row>
    <row r="373" spans="1:4" x14ac:dyDescent="0.25">
      <c r="A373" s="1">
        <v>360.9649</v>
      </c>
      <c r="B373" s="1">
        <v>1992</v>
      </c>
      <c r="C373" s="1">
        <v>8.5982059999999993</v>
      </c>
      <c r="D373" s="1" t="s">
        <v>22</v>
      </c>
    </row>
    <row r="374" spans="1:4" x14ac:dyDescent="0.25">
      <c r="A374" s="1">
        <v>426.98923000000002</v>
      </c>
      <c r="B374" s="1">
        <v>1993</v>
      </c>
      <c r="C374" s="1">
        <v>74.622529999999998</v>
      </c>
      <c r="D374" s="1" t="s">
        <v>22</v>
      </c>
    </row>
    <row r="375" spans="1:4" x14ac:dyDescent="0.25">
      <c r="A375" s="1">
        <v>350.16793999999999</v>
      </c>
      <c r="B375" s="1">
        <v>1994</v>
      </c>
      <c r="C375" s="1">
        <v>-2.1987610000000002</v>
      </c>
      <c r="D375" s="1" t="s">
        <v>22</v>
      </c>
    </row>
    <row r="376" spans="1:4" x14ac:dyDescent="0.25">
      <c r="A376" s="1">
        <v>356.41604999999998</v>
      </c>
      <c r="B376" s="1">
        <v>1995</v>
      </c>
      <c r="C376" s="1">
        <v>4.049347</v>
      </c>
      <c r="D376" s="1" t="s">
        <v>22</v>
      </c>
    </row>
    <row r="377" spans="1:4" x14ac:dyDescent="0.25">
      <c r="A377" s="1">
        <v>388.09305000000001</v>
      </c>
      <c r="B377" s="1">
        <v>1996</v>
      </c>
      <c r="C377" s="1">
        <v>35.726349999999996</v>
      </c>
      <c r="D377" s="1" t="s">
        <v>22</v>
      </c>
    </row>
    <row r="378" spans="1:4" x14ac:dyDescent="0.25">
      <c r="A378" s="1">
        <v>352.10626000000002</v>
      </c>
      <c r="B378" s="1">
        <v>1997</v>
      </c>
      <c r="C378" s="1">
        <v>-0.26043699999999997</v>
      </c>
      <c r="D378" s="1" t="s">
        <v>22</v>
      </c>
    </row>
    <row r="379" spans="1:4" x14ac:dyDescent="0.25">
      <c r="A379" s="1">
        <v>323.54962</v>
      </c>
      <c r="B379" s="1">
        <v>1998</v>
      </c>
      <c r="C379" s="1">
        <v>-28.817077999999999</v>
      </c>
      <c r="D379" s="1" t="s">
        <v>22</v>
      </c>
    </row>
    <row r="380" spans="1:4" x14ac:dyDescent="0.25">
      <c r="A380" s="1">
        <v>437.72748000000001</v>
      </c>
      <c r="B380" s="1">
        <v>1999</v>
      </c>
      <c r="C380" s="1">
        <v>85.360780000000005</v>
      </c>
      <c r="D380" s="1" t="s">
        <v>22</v>
      </c>
    </row>
    <row r="381" spans="1:4" x14ac:dyDescent="0.25">
      <c r="A381" s="1">
        <v>392.50963999999999</v>
      </c>
      <c r="B381" s="1">
        <v>2000</v>
      </c>
      <c r="C381" s="1">
        <v>40.142944</v>
      </c>
      <c r="D381" s="1" t="s">
        <v>22</v>
      </c>
    </row>
    <row r="382" spans="1:4" x14ac:dyDescent="0.25">
      <c r="A382" s="1">
        <v>366.81040000000002</v>
      </c>
      <c r="B382" s="1">
        <v>2001</v>
      </c>
      <c r="C382" s="1">
        <v>14.443695</v>
      </c>
      <c r="D382" s="1" t="s">
        <v>22</v>
      </c>
    </row>
    <row r="383" spans="1:4" x14ac:dyDescent="0.25">
      <c r="A383" s="1">
        <v>344.49774000000002</v>
      </c>
      <c r="B383" s="1">
        <v>2002</v>
      </c>
      <c r="C383" s="1">
        <v>-7.8689574999999996</v>
      </c>
      <c r="D383" s="1" t="s">
        <v>22</v>
      </c>
    </row>
    <row r="384" spans="1:4" x14ac:dyDescent="0.25">
      <c r="A384" s="1">
        <v>342.80988000000002</v>
      </c>
      <c r="B384" s="1">
        <v>2003</v>
      </c>
      <c r="C384" s="1">
        <v>-9.5568240000000007</v>
      </c>
      <c r="D384" s="1" t="s">
        <v>22</v>
      </c>
    </row>
    <row r="385" spans="1:4" x14ac:dyDescent="0.25">
      <c r="A385" s="1">
        <v>340.63772999999998</v>
      </c>
      <c r="B385" s="1">
        <v>2004</v>
      </c>
      <c r="C385" s="1">
        <v>-11.728973</v>
      </c>
      <c r="D385" s="1" t="s">
        <v>22</v>
      </c>
    </row>
    <row r="386" spans="1:4" x14ac:dyDescent="0.25">
      <c r="A386" s="1">
        <v>388.71269999999998</v>
      </c>
      <c r="B386" s="1">
        <v>2005</v>
      </c>
      <c r="C386" s="1">
        <v>36.34601</v>
      </c>
      <c r="D386" s="1" t="s">
        <v>22</v>
      </c>
    </row>
    <row r="387" spans="1:4" x14ac:dyDescent="0.25">
      <c r="A387" s="1">
        <v>298.40906000000001</v>
      </c>
      <c r="B387" s="1">
        <v>2006</v>
      </c>
      <c r="C387" s="1">
        <v>-53.957639999999998</v>
      </c>
      <c r="D387" s="1" t="s">
        <v>22</v>
      </c>
    </row>
    <row r="388" spans="1:4" x14ac:dyDescent="0.25">
      <c r="A388" s="1">
        <v>380.37927000000002</v>
      </c>
      <c r="B388" s="1">
        <v>2007</v>
      </c>
      <c r="C388" s="1">
        <v>28.012573</v>
      </c>
      <c r="D388" s="1" t="s">
        <v>22</v>
      </c>
    </row>
    <row r="389" spans="1:4" x14ac:dyDescent="0.25">
      <c r="A389" s="1">
        <v>340.36023</v>
      </c>
      <c r="B389" s="1">
        <v>2008</v>
      </c>
      <c r="C389" s="1">
        <v>-12.00647</v>
      </c>
      <c r="D389" s="1" t="s">
        <v>22</v>
      </c>
    </row>
    <row r="390" spans="1:4" x14ac:dyDescent="0.25">
      <c r="A390" s="1">
        <v>292.10654</v>
      </c>
      <c r="B390" s="1">
        <v>2009</v>
      </c>
      <c r="C390" s="1">
        <v>-60.260162000000001</v>
      </c>
      <c r="D390" s="1" t="s">
        <v>22</v>
      </c>
    </row>
    <row r="391" spans="1:4" x14ac:dyDescent="0.25">
      <c r="A391" s="1">
        <v>369.03043000000002</v>
      </c>
      <c r="B391" s="1">
        <v>2010</v>
      </c>
      <c r="C391" s="1">
        <v>16.663727000000002</v>
      </c>
      <c r="D391" s="1" t="s">
        <v>22</v>
      </c>
    </row>
    <row r="392" spans="1:4" x14ac:dyDescent="0.25">
      <c r="A392" s="1">
        <v>334.85915999999997</v>
      </c>
      <c r="B392" s="1">
        <v>2011</v>
      </c>
      <c r="C392" s="1">
        <v>-17.507538</v>
      </c>
      <c r="D392" s="1" t="s">
        <v>22</v>
      </c>
    </row>
    <row r="393" spans="1:4" x14ac:dyDescent="0.25">
      <c r="A393" s="1">
        <v>296.12786999999997</v>
      </c>
      <c r="B393" s="1">
        <v>2012</v>
      </c>
      <c r="C393" s="1">
        <v>-56.23883</v>
      </c>
      <c r="D393" s="1" t="s">
        <v>22</v>
      </c>
    </row>
    <row r="394" spans="1:4" x14ac:dyDescent="0.25">
      <c r="A394" s="1">
        <v>352.0684</v>
      </c>
      <c r="B394" s="1">
        <v>2013</v>
      </c>
      <c r="C394" s="1">
        <v>-0.29830932999999998</v>
      </c>
      <c r="D394" s="1" t="s">
        <v>22</v>
      </c>
    </row>
    <row r="395" spans="1:4" x14ac:dyDescent="0.25">
      <c r="A395" s="1">
        <v>373.51830000000001</v>
      </c>
      <c r="B395" s="1">
        <v>2014</v>
      </c>
      <c r="C395" s="1">
        <v>21.151610999999999</v>
      </c>
      <c r="D395" s="1" t="s">
        <v>22</v>
      </c>
    </row>
    <row r="396" spans="1:4" x14ac:dyDescent="0.25">
      <c r="A396" s="1">
        <v>304.16595000000001</v>
      </c>
      <c r="B396" s="1">
        <v>2015</v>
      </c>
      <c r="C396" s="1">
        <v>-48.200744999999998</v>
      </c>
      <c r="D396" s="1" t="s">
        <v>22</v>
      </c>
    </row>
    <row r="397" spans="1:4" x14ac:dyDescent="0.25">
      <c r="A397" s="1">
        <v>298.6694</v>
      </c>
      <c r="B397" s="1">
        <v>2016</v>
      </c>
      <c r="C397" s="1">
        <v>-53.697296000000001</v>
      </c>
      <c r="D397" s="1" t="s">
        <v>22</v>
      </c>
    </row>
    <row r="398" spans="1:4" x14ac:dyDescent="0.25">
      <c r="A398" s="1">
        <v>338.21289999999999</v>
      </c>
      <c r="B398" s="1">
        <v>2017</v>
      </c>
      <c r="C398" s="1">
        <v>-14.153809000000001</v>
      </c>
      <c r="D398" s="1" t="s">
        <v>22</v>
      </c>
    </row>
    <row r="399" spans="1:4" x14ac:dyDescent="0.25">
      <c r="A399" s="1">
        <v>342.56313999999998</v>
      </c>
      <c r="B399" s="1">
        <v>2018</v>
      </c>
      <c r="C399" s="1">
        <v>-9.8035580000000007</v>
      </c>
      <c r="D399" s="1" t="s">
        <v>22</v>
      </c>
    </row>
    <row r="400" spans="1:4" x14ac:dyDescent="0.25">
      <c r="A400" s="1">
        <v>341.74560000000002</v>
      </c>
      <c r="B400" s="1">
        <v>2019</v>
      </c>
      <c r="C400" s="1">
        <v>-10.621093999999999</v>
      </c>
      <c r="D400" s="1" t="s">
        <v>22</v>
      </c>
    </row>
    <row r="401" spans="1:4" x14ac:dyDescent="0.25">
      <c r="A401" s="1">
        <v>326.94394</v>
      </c>
      <c r="B401" s="1">
        <v>2020</v>
      </c>
      <c r="C401" s="1">
        <v>-25.42276</v>
      </c>
      <c r="D401" s="1" t="s">
        <v>22</v>
      </c>
    </row>
    <row r="402" spans="1:4" x14ac:dyDescent="0.25">
      <c r="A402" s="1">
        <v>289.89614999999998</v>
      </c>
      <c r="B402" s="1">
        <v>2021</v>
      </c>
      <c r="C402" s="1">
        <v>-62.470550000000003</v>
      </c>
      <c r="D402" s="1" t="s">
        <v>22</v>
      </c>
    </row>
    <row r="403" spans="1:4" x14ac:dyDescent="0.25">
      <c r="A403" s="1">
        <v>321.73131999999998</v>
      </c>
      <c r="B403" s="1">
        <v>2022</v>
      </c>
      <c r="C403" s="1">
        <v>-30.635376000000001</v>
      </c>
      <c r="D403" s="1" t="s">
        <v>22</v>
      </c>
    </row>
    <row r="404" spans="1:4" x14ac:dyDescent="0.25">
      <c r="A404" s="1">
        <v>270.20287999999999</v>
      </c>
      <c r="B404" s="1">
        <v>2023</v>
      </c>
      <c r="C404" s="1">
        <v>-82.163820000000001</v>
      </c>
      <c r="D404" s="1" t="s">
        <v>22</v>
      </c>
    </row>
    <row r="405" spans="1:4" x14ac:dyDescent="0.25">
      <c r="A405" s="1">
        <v>380.12875000000003</v>
      </c>
      <c r="B405" s="1">
        <v>2024</v>
      </c>
      <c r="C405" s="1">
        <v>27.762053999999999</v>
      </c>
      <c r="D405" s="1" t="s">
        <v>22</v>
      </c>
    </row>
    <row r="406" spans="1:4" x14ac:dyDescent="0.25">
      <c r="A406" s="1">
        <v>315.35678000000001</v>
      </c>
      <c r="B406" s="1">
        <v>2025</v>
      </c>
      <c r="C406" s="1">
        <v>-37.009920000000001</v>
      </c>
      <c r="D40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</vt:lpstr>
      <vt:lpstr>Normal_Climatica</vt:lpstr>
      <vt:lpstr>Pentadas_Pais</vt:lpstr>
      <vt:lpstr>Anomalia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 Ortega Melendez</dc:creator>
  <cp:lastModifiedBy>Jaime L Ortega Melendez</cp:lastModifiedBy>
  <dcterms:created xsi:type="dcterms:W3CDTF">2015-06-05T18:17:20Z</dcterms:created>
  <dcterms:modified xsi:type="dcterms:W3CDTF">2025-10-28T03:46:37Z</dcterms:modified>
</cp:coreProperties>
</file>