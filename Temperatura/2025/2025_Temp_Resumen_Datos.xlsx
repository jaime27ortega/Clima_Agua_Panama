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lima_Agua_Panama\Output_Raster_Files\AirTemp\2025\"/>
    </mc:Choice>
  </mc:AlternateContent>
  <xr:revisionPtr revIDLastSave="0" documentId="13_ncr:1_{4E603D46-0A20-42BB-A051-C5BF43E574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25" sheetId="2" r:id="rId1"/>
    <sheet name="Normal_climatica" sheetId="5" r:id="rId2"/>
    <sheet name="Pentadas_Pais" sheetId="3" r:id="rId3"/>
    <sheet name="Anomali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5" l="1"/>
  <c r="I50" i="5"/>
  <c r="J50" i="5"/>
  <c r="H33" i="5"/>
  <c r="I33" i="5"/>
  <c r="J33" i="5"/>
  <c r="H16" i="5"/>
  <c r="I16" i="5"/>
  <c r="J16" i="5"/>
  <c r="H50" i="2" l="1"/>
  <c r="I50" i="2"/>
  <c r="J50" i="2"/>
  <c r="N3" i="2"/>
  <c r="H33" i="2"/>
  <c r="I33" i="2"/>
  <c r="J33" i="2"/>
  <c r="H16" i="2"/>
  <c r="I16" i="2"/>
  <c r="J16" i="2"/>
  <c r="G50" i="5"/>
  <c r="F50" i="5"/>
  <c r="E50" i="5"/>
  <c r="D50" i="5"/>
  <c r="C50" i="5"/>
  <c r="B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G33" i="5"/>
  <c r="F33" i="5"/>
  <c r="E33" i="5"/>
  <c r="D33" i="5"/>
  <c r="C33" i="5"/>
  <c r="B33" i="5"/>
  <c r="N33" i="5" s="1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G16" i="5"/>
  <c r="F16" i="5"/>
  <c r="E16" i="5"/>
  <c r="D16" i="5"/>
  <c r="C16" i="5"/>
  <c r="B16" i="5"/>
  <c r="N16" i="5" s="1"/>
  <c r="N15" i="5"/>
  <c r="N14" i="5"/>
  <c r="N13" i="5"/>
  <c r="N12" i="5"/>
  <c r="N11" i="5"/>
  <c r="N10" i="5"/>
  <c r="N9" i="5"/>
  <c r="N8" i="5"/>
  <c r="N7" i="5"/>
  <c r="N6" i="5"/>
  <c r="N5" i="5"/>
  <c r="N4" i="5"/>
  <c r="N3" i="5"/>
  <c r="G50" i="2"/>
  <c r="F50" i="2"/>
  <c r="E50" i="2"/>
  <c r="D50" i="2"/>
  <c r="C50" i="2"/>
  <c r="B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G33" i="2"/>
  <c r="F33" i="2"/>
  <c r="E33" i="2"/>
  <c r="D33" i="2"/>
  <c r="C33" i="2"/>
  <c r="B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4" i="2"/>
  <c r="N5" i="2"/>
  <c r="N6" i="2"/>
  <c r="N7" i="2"/>
  <c r="N8" i="2"/>
  <c r="N9" i="2"/>
  <c r="N10" i="2"/>
  <c r="N11" i="2"/>
  <c r="N12" i="2"/>
  <c r="N13" i="2"/>
  <c r="N14" i="2"/>
  <c r="N15" i="2"/>
  <c r="G16" i="2"/>
  <c r="C16" i="2"/>
  <c r="D16" i="2"/>
  <c r="E16" i="2"/>
  <c r="F16" i="2"/>
  <c r="B16" i="2"/>
  <c r="N16" i="2" l="1"/>
  <c r="N50" i="5"/>
  <c r="N50" i="2"/>
  <c r="N33" i="2"/>
</calcChain>
</file>

<file path=xl/sharedStrings.xml><?xml version="1.0" encoding="utf-8"?>
<sst xmlns="http://schemas.openxmlformats.org/spreadsheetml/2006/main" count="1425" uniqueCount="40">
  <si>
    <t>Jan</t>
  </si>
  <si>
    <t>Feb</t>
  </si>
  <si>
    <t>Mar</t>
  </si>
  <si>
    <t>Apr</t>
  </si>
  <si>
    <t>BT</t>
  </si>
  <si>
    <t>CC</t>
  </si>
  <si>
    <t>C-EW</t>
  </si>
  <si>
    <t>C-GY</t>
  </si>
  <si>
    <t>CH</t>
  </si>
  <si>
    <t>CL</t>
  </si>
  <si>
    <t>C-NB</t>
  </si>
  <si>
    <t>DR</t>
  </si>
  <si>
    <t>HR</t>
  </si>
  <si>
    <t>LS</t>
  </si>
  <si>
    <t>PA</t>
  </si>
  <si>
    <t>PO</t>
  </si>
  <si>
    <t>VR</t>
  </si>
  <si>
    <t>May</t>
  </si>
  <si>
    <t>Jun</t>
  </si>
  <si>
    <t>Jul</t>
  </si>
  <si>
    <t>Aug</t>
  </si>
  <si>
    <t>Sep</t>
  </si>
  <si>
    <t>Oct</t>
  </si>
  <si>
    <t>Nov</t>
  </si>
  <si>
    <t>Dec</t>
  </si>
  <si>
    <t>Region</t>
  </si>
  <si>
    <t>Promedio</t>
  </si>
  <si>
    <t>Pen</t>
  </si>
  <si>
    <t>Day</t>
  </si>
  <si>
    <t>Month</t>
  </si>
  <si>
    <t>Year</t>
  </si>
  <si>
    <t>Datetime</t>
  </si>
  <si>
    <t>Diff_meanVsNC</t>
  </si>
  <si>
    <t>Raster_ave</t>
  </si>
  <si>
    <t>Tprom</t>
  </si>
  <si>
    <t>Tmax</t>
  </si>
  <si>
    <t>Tmin</t>
  </si>
  <si>
    <t>Mean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</si>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</sst>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2" fontId="1" fillId="0" borderId="0" xfId="0" applyNumberFormat="1" applyFont="1" applyAlignment="1">
      <alignment horizontal="center" vertical="center"/>
    </xf>
    <xf numFmtId="16" fontId="1" fillId="0" borderId="0" xfId="0" applyNumberFormat="1" applyFont="1"/>
    <xf numFmtId="0" fontId="2" fillId="0" borderId="0" xfId="0" applyFont="1"/>
    <xf numFmtId="2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3065C-BA00-4360-894E-DBC69C8D51A1}">
  <dimension ref="A1:N50"/>
  <sheetViews>
    <sheetView tabSelected="1" workbookViewId="0">
      <selection activeCell="I11" sqref="I11"/>
    </sheetView>
  </sheetViews>
  <sheetFormatPr baseColWidth="10" defaultColWidth="9.140625" defaultRowHeight="15" x14ac:dyDescent="0.25"/>
  <cols>
    <col min="1" max="1" width="11.85546875" bestFit="1" customWidth="1"/>
    <col min="14" max="14" width="11.85546875" bestFit="1" customWidth="1"/>
  </cols>
  <sheetData>
    <row r="1" spans="1:14" ht="23.25" x14ac:dyDescent="0.25">
      <c r="A1" s="8" t="s">
        <v>34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8.75" x14ac:dyDescent="0.25">
      <c r="A2" s="2" t="s">
        <v>25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26</v>
      </c>
    </row>
    <row r="3" spans="1:14" ht="18.75" x14ac:dyDescent="0.3">
      <c r="A3" s="3" t="s">
        <v>4</v>
      </c>
      <c r="B3" s="4">
        <v>23.800170000000001</v>
      </c>
      <c r="C3" s="4">
        <v>24.494268000000002</v>
      </c>
      <c r="D3" s="4">
        <v>23.851237999999999</v>
      </c>
      <c r="E3" s="4">
        <v>24.595459999999999</v>
      </c>
      <c r="F3" s="4">
        <v>24.918393999999999</v>
      </c>
      <c r="G3" s="4">
        <v>24.946781000000001</v>
      </c>
      <c r="H3" s="4">
        <v>24.103187999999999</v>
      </c>
      <c r="I3" s="4">
        <v>25.181999999999999</v>
      </c>
      <c r="J3" s="4">
        <v>24.701317</v>
      </c>
      <c r="K3" s="4"/>
      <c r="L3" s="4"/>
      <c r="M3" s="4"/>
      <c r="N3" s="4">
        <f>AVERAGE(B3:M3)</f>
        <v>24.510312888888887</v>
      </c>
    </row>
    <row r="4" spans="1:14" ht="18.75" x14ac:dyDescent="0.3">
      <c r="A4" s="3" t="s">
        <v>5</v>
      </c>
      <c r="B4" s="4">
        <v>27.941416</v>
      </c>
      <c r="C4" s="4">
        <v>26.667598999999999</v>
      </c>
      <c r="D4" s="4">
        <v>27.610434000000001</v>
      </c>
      <c r="E4" s="4">
        <v>27.687887</v>
      </c>
      <c r="F4" s="4">
        <v>27.237352000000001</v>
      </c>
      <c r="G4" s="4">
        <v>26.689229999999998</v>
      </c>
      <c r="H4" s="4">
        <v>27.798306</v>
      </c>
      <c r="I4" s="4">
        <v>27.032927999999998</v>
      </c>
      <c r="J4" s="4">
        <v>26.113956000000002</v>
      </c>
      <c r="K4" s="4"/>
      <c r="L4" s="4"/>
      <c r="M4" s="4"/>
      <c r="N4" s="4">
        <f t="shared" ref="N4:N15" si="0">AVERAGE(B4:M4)</f>
        <v>27.197678666666668</v>
      </c>
    </row>
    <row r="5" spans="1:14" ht="18.75" x14ac:dyDescent="0.3">
      <c r="A5" s="3" t="s">
        <v>6</v>
      </c>
      <c r="B5" s="4">
        <v>26.608149999999998</v>
      </c>
      <c r="C5" s="4">
        <v>26.386889</v>
      </c>
      <c r="D5" s="4">
        <v>25.785983999999999</v>
      </c>
      <c r="E5" s="4">
        <v>26.026443</v>
      </c>
      <c r="F5" s="4">
        <v>26.828419</v>
      </c>
      <c r="G5" s="4">
        <v>26.465613999999999</v>
      </c>
      <c r="H5" s="4">
        <v>26.194506000000001</v>
      </c>
      <c r="I5" s="4">
        <v>25.964397000000002</v>
      </c>
      <c r="J5" s="4">
        <v>25.951218000000001</v>
      </c>
      <c r="K5" s="4"/>
      <c r="L5" s="4"/>
      <c r="M5" s="4"/>
      <c r="N5" s="4">
        <f t="shared" si="0"/>
        <v>26.245735555555555</v>
      </c>
    </row>
    <row r="6" spans="1:14" ht="18.75" x14ac:dyDescent="0.3">
      <c r="A6" s="3" t="s">
        <v>7</v>
      </c>
      <c r="B6" s="4">
        <v>27.681554999999999</v>
      </c>
      <c r="C6" s="4">
        <v>27.360123000000002</v>
      </c>
      <c r="D6" s="4">
        <v>27.637722</v>
      </c>
      <c r="E6" s="4">
        <v>27.957750000000001</v>
      </c>
      <c r="F6" s="4">
        <v>27.820661999999999</v>
      </c>
      <c r="G6" s="4">
        <v>27.2181</v>
      </c>
      <c r="H6" s="4">
        <v>27.804873000000001</v>
      </c>
      <c r="I6" s="4">
        <v>27.149908</v>
      </c>
      <c r="J6" s="4">
        <v>26.926366999999999</v>
      </c>
      <c r="K6" s="4"/>
      <c r="L6" s="4"/>
      <c r="M6" s="4"/>
      <c r="N6" s="4">
        <f t="shared" si="0"/>
        <v>27.506339999999998</v>
      </c>
    </row>
    <row r="7" spans="1:14" ht="18.75" x14ac:dyDescent="0.3">
      <c r="A7" s="3" t="s">
        <v>8</v>
      </c>
      <c r="B7" s="4">
        <v>26.961577999999999</v>
      </c>
      <c r="C7" s="4">
        <v>26.272928</v>
      </c>
      <c r="D7" s="4">
        <v>26.446680000000001</v>
      </c>
      <c r="E7" s="4">
        <v>26.210989999999999</v>
      </c>
      <c r="F7" s="4">
        <v>26.955300999999999</v>
      </c>
      <c r="G7" s="4">
        <v>26.677237999999999</v>
      </c>
      <c r="H7" s="4">
        <v>26.924893999999998</v>
      </c>
      <c r="I7" s="4">
        <v>26.93817</v>
      </c>
      <c r="J7" s="4">
        <v>26.279530999999999</v>
      </c>
      <c r="K7" s="4"/>
      <c r="L7" s="4"/>
      <c r="M7" s="4"/>
      <c r="N7" s="4">
        <f t="shared" si="0"/>
        <v>26.629701111111107</v>
      </c>
    </row>
    <row r="8" spans="1:14" ht="18.75" x14ac:dyDescent="0.3">
      <c r="A8" s="3" t="s">
        <v>9</v>
      </c>
      <c r="B8" s="4">
        <v>28.251905000000001</v>
      </c>
      <c r="C8" s="4">
        <v>27.671506999999998</v>
      </c>
      <c r="D8" s="4">
        <v>28.144043</v>
      </c>
      <c r="E8" s="4">
        <v>28.479472999999999</v>
      </c>
      <c r="F8" s="4">
        <v>28.084130999999999</v>
      </c>
      <c r="G8" s="4">
        <v>27.634125000000001</v>
      </c>
      <c r="H8" s="4">
        <v>28.147589</v>
      </c>
      <c r="I8" s="4">
        <v>27.981964000000001</v>
      </c>
      <c r="J8" s="4">
        <v>27.306639000000001</v>
      </c>
      <c r="K8" s="4"/>
      <c r="L8" s="4"/>
      <c r="M8" s="4"/>
      <c r="N8" s="4">
        <f t="shared" si="0"/>
        <v>27.966819555555556</v>
      </c>
    </row>
    <row r="9" spans="1:14" ht="18.75" x14ac:dyDescent="0.3">
      <c r="A9" s="3" t="s">
        <v>10</v>
      </c>
      <c r="B9" s="4">
        <v>25.303820000000002</v>
      </c>
      <c r="C9" s="4">
        <v>24.982379999999999</v>
      </c>
      <c r="D9" s="4">
        <v>25.239903999999999</v>
      </c>
      <c r="E9" s="4">
        <v>25.809934999999999</v>
      </c>
      <c r="F9" s="4">
        <v>25.506734999999999</v>
      </c>
      <c r="G9" s="4">
        <v>25.273900999999999</v>
      </c>
      <c r="H9" s="4">
        <v>25.404015000000001</v>
      </c>
      <c r="I9" s="4">
        <v>25.61544</v>
      </c>
      <c r="J9" s="4">
        <v>24.837872000000001</v>
      </c>
      <c r="K9" s="4"/>
      <c r="L9" s="4"/>
      <c r="M9" s="4"/>
      <c r="N9" s="4">
        <f t="shared" si="0"/>
        <v>25.330444666666668</v>
      </c>
    </row>
    <row r="10" spans="1:14" ht="18.75" x14ac:dyDescent="0.3">
      <c r="A10" s="3" t="s">
        <v>11</v>
      </c>
      <c r="B10" s="4">
        <v>26.661709999999999</v>
      </c>
      <c r="C10" s="4">
        <v>26.482346</v>
      </c>
      <c r="D10" s="4">
        <v>25.690887</v>
      </c>
      <c r="E10" s="4">
        <v>25.877794000000002</v>
      </c>
      <c r="F10" s="4">
        <v>26.88496</v>
      </c>
      <c r="G10" s="4">
        <v>26.504297000000001</v>
      </c>
      <c r="H10" s="4">
        <v>26.156496000000001</v>
      </c>
      <c r="I10" s="4">
        <v>26.019929999999999</v>
      </c>
      <c r="J10" s="4">
        <v>26.039117999999998</v>
      </c>
      <c r="K10" s="4"/>
      <c r="L10" s="4"/>
      <c r="M10" s="4"/>
      <c r="N10" s="4">
        <f t="shared" si="0"/>
        <v>26.257504222222224</v>
      </c>
    </row>
    <row r="11" spans="1:14" ht="18.75" x14ac:dyDescent="0.3">
      <c r="A11" s="3" t="s">
        <v>12</v>
      </c>
      <c r="B11" s="4">
        <v>27.843954</v>
      </c>
      <c r="C11" s="4">
        <v>26.497059</v>
      </c>
      <c r="D11" s="4">
        <v>26.894575</v>
      </c>
      <c r="E11" s="4">
        <v>26.676445000000001</v>
      </c>
      <c r="F11" s="4">
        <v>27.023098000000001</v>
      </c>
      <c r="G11" s="4">
        <v>26.683647000000001</v>
      </c>
      <c r="H11" s="4">
        <v>27.605080000000001</v>
      </c>
      <c r="I11" s="4">
        <v>26.791882000000001</v>
      </c>
      <c r="J11" s="4">
        <v>26.023453</v>
      </c>
      <c r="K11" s="4"/>
      <c r="L11" s="4"/>
      <c r="M11" s="4"/>
      <c r="N11" s="4">
        <f t="shared" si="0"/>
        <v>26.893243666666663</v>
      </c>
    </row>
    <row r="12" spans="1:14" ht="18.75" x14ac:dyDescent="0.3">
      <c r="A12" s="3" t="s">
        <v>13</v>
      </c>
      <c r="B12" s="4">
        <v>27.925380000000001</v>
      </c>
      <c r="C12" s="4">
        <v>27.151693000000002</v>
      </c>
      <c r="D12" s="4">
        <v>27.128647000000001</v>
      </c>
      <c r="E12" s="4">
        <v>27.262471999999999</v>
      </c>
      <c r="F12" s="4">
        <v>27.571446999999999</v>
      </c>
      <c r="G12" s="4">
        <v>27.345911000000001</v>
      </c>
      <c r="H12" s="4">
        <v>27.660502999999999</v>
      </c>
      <c r="I12" s="4">
        <v>27.357372000000002</v>
      </c>
      <c r="J12" s="4">
        <v>26.639067000000001</v>
      </c>
      <c r="K12" s="4"/>
      <c r="L12" s="4"/>
      <c r="M12" s="4"/>
      <c r="N12" s="4">
        <f t="shared" si="0"/>
        <v>27.338054666666668</v>
      </c>
    </row>
    <row r="13" spans="1:14" ht="18.75" x14ac:dyDescent="0.3">
      <c r="A13" s="3" t="s">
        <v>14</v>
      </c>
      <c r="B13" s="4">
        <v>27.058039000000001</v>
      </c>
      <c r="C13" s="4">
        <v>26.714102</v>
      </c>
      <c r="D13" s="4">
        <v>26.671972</v>
      </c>
      <c r="E13" s="4">
        <v>26.896146999999999</v>
      </c>
      <c r="F13" s="4">
        <v>27.102246999999998</v>
      </c>
      <c r="G13" s="4">
        <v>26.643174999999999</v>
      </c>
      <c r="H13" s="4">
        <v>26.79476</v>
      </c>
      <c r="I13" s="4">
        <v>26.488602</v>
      </c>
      <c r="J13" s="4">
        <v>26.312895000000001</v>
      </c>
      <c r="K13" s="4"/>
      <c r="L13" s="4"/>
      <c r="M13" s="4"/>
      <c r="N13" s="4">
        <f t="shared" si="0"/>
        <v>26.742437666666671</v>
      </c>
    </row>
    <row r="14" spans="1:14" ht="18.75" x14ac:dyDescent="0.3">
      <c r="A14" s="3" t="s">
        <v>15</v>
      </c>
      <c r="B14" s="4">
        <v>27.580888999999999</v>
      </c>
      <c r="C14" s="4">
        <v>26.811844000000001</v>
      </c>
      <c r="D14" s="4">
        <v>27.084783999999999</v>
      </c>
      <c r="E14" s="4">
        <v>27.312978999999999</v>
      </c>
      <c r="F14" s="4">
        <v>27.279812</v>
      </c>
      <c r="G14" s="4">
        <v>26.781455999999999</v>
      </c>
      <c r="H14" s="4">
        <v>27.254612000000002</v>
      </c>
      <c r="I14" s="4">
        <v>26.936848000000001</v>
      </c>
      <c r="J14" s="4">
        <v>26.241237999999999</v>
      </c>
      <c r="K14" s="4"/>
      <c r="L14" s="4"/>
      <c r="M14" s="4"/>
      <c r="N14" s="4">
        <f t="shared" si="0"/>
        <v>27.031606888888891</v>
      </c>
    </row>
    <row r="15" spans="1:14" ht="18.75" x14ac:dyDescent="0.3">
      <c r="A15" s="3" t="s">
        <v>16</v>
      </c>
      <c r="B15" s="4">
        <v>28.283718</v>
      </c>
      <c r="C15" s="4">
        <v>27.071128999999999</v>
      </c>
      <c r="D15" s="4">
        <v>27.539702999999999</v>
      </c>
      <c r="E15" s="4">
        <v>27.508590000000002</v>
      </c>
      <c r="F15" s="4">
        <v>27.596207</v>
      </c>
      <c r="G15" s="4">
        <v>27.233865999999999</v>
      </c>
      <c r="H15" s="4">
        <v>28.110643</v>
      </c>
      <c r="I15" s="4">
        <v>27.469086000000001</v>
      </c>
      <c r="J15" s="4">
        <v>26.665569999999999</v>
      </c>
      <c r="K15" s="4"/>
      <c r="L15" s="4"/>
      <c r="M15" s="4"/>
      <c r="N15" s="4">
        <f t="shared" si="0"/>
        <v>27.497612444444446</v>
      </c>
    </row>
    <row r="16" spans="1:14" ht="18.75" x14ac:dyDescent="0.3">
      <c r="A16" s="6" t="s">
        <v>26</v>
      </c>
      <c r="B16" s="7">
        <f t="shared" ref="B16:J16" si="1">AVERAGE(B3:B15)</f>
        <v>27.069406461538463</v>
      </c>
      <c r="C16" s="7">
        <f t="shared" si="1"/>
        <v>26.504912846153847</v>
      </c>
      <c r="D16" s="7">
        <f t="shared" si="1"/>
        <v>26.594351769230766</v>
      </c>
      <c r="E16" s="7">
        <f t="shared" si="1"/>
        <v>26.792489615384618</v>
      </c>
      <c r="F16" s="7">
        <f t="shared" si="1"/>
        <v>26.985289615384616</v>
      </c>
      <c r="G16" s="7">
        <f t="shared" si="1"/>
        <v>26.622872384615384</v>
      </c>
      <c r="H16" s="7">
        <f t="shared" si="1"/>
        <v>26.919958846153847</v>
      </c>
      <c r="I16" s="7">
        <f t="shared" si="1"/>
        <v>26.68680976923077</v>
      </c>
      <c r="J16" s="7">
        <f t="shared" si="1"/>
        <v>26.156787769230771</v>
      </c>
      <c r="K16" s="7"/>
      <c r="L16" s="7"/>
      <c r="M16" s="7"/>
      <c r="N16" s="7">
        <f>AVERAGE(B16:M16)</f>
        <v>26.703653230769234</v>
      </c>
    </row>
    <row r="18" spans="1:14" ht="23.25" x14ac:dyDescent="0.25">
      <c r="A18" s="8" t="s">
        <v>35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ht="18.75" x14ac:dyDescent="0.25">
      <c r="A19" s="2" t="s">
        <v>25</v>
      </c>
      <c r="B19" s="2" t="s">
        <v>0</v>
      </c>
      <c r="C19" s="2" t="s">
        <v>1</v>
      </c>
      <c r="D19" s="2" t="s">
        <v>2</v>
      </c>
      <c r="E19" s="2" t="s">
        <v>3</v>
      </c>
      <c r="F19" s="2" t="s">
        <v>17</v>
      </c>
      <c r="G19" s="2" t="s">
        <v>18</v>
      </c>
      <c r="H19" s="2" t="s">
        <v>19</v>
      </c>
      <c r="I19" s="2" t="s">
        <v>20</v>
      </c>
      <c r="J19" s="2" t="s">
        <v>21</v>
      </c>
      <c r="K19" s="2" t="s">
        <v>22</v>
      </c>
      <c r="L19" s="2" t="s">
        <v>23</v>
      </c>
      <c r="M19" s="2" t="s">
        <v>24</v>
      </c>
      <c r="N19" s="2" t="s">
        <v>26</v>
      </c>
    </row>
    <row r="20" spans="1:14" ht="18.75" x14ac:dyDescent="0.3">
      <c r="A20" s="3" t="s">
        <v>4</v>
      </c>
      <c r="B20" s="4">
        <v>26.060703</v>
      </c>
      <c r="C20" s="4">
        <v>27.332127</v>
      </c>
      <c r="D20" s="4">
        <v>26.63843</v>
      </c>
      <c r="E20" s="4">
        <v>27.299963000000002</v>
      </c>
      <c r="F20" s="4">
        <v>27.347270999999999</v>
      </c>
      <c r="G20" s="4">
        <v>27.331005000000001</v>
      </c>
      <c r="H20" s="4">
        <v>26.901077000000001</v>
      </c>
      <c r="I20" s="4">
        <v>27.640872999999999</v>
      </c>
      <c r="J20" s="4">
        <v>27.077137</v>
      </c>
      <c r="K20" s="4"/>
      <c r="L20" s="4"/>
      <c r="M20" s="4"/>
      <c r="N20" s="4">
        <f>AVERAGE(B20:M20)</f>
        <v>27.069842888888886</v>
      </c>
    </row>
    <row r="21" spans="1:14" ht="18.75" x14ac:dyDescent="0.3">
      <c r="A21" s="3" t="s">
        <v>5</v>
      </c>
      <c r="B21" s="4">
        <v>30.594937999999999</v>
      </c>
      <c r="C21" s="4">
        <v>29.589783000000001</v>
      </c>
      <c r="D21" s="4">
        <v>30.765501</v>
      </c>
      <c r="E21" s="4">
        <v>30.478400000000001</v>
      </c>
      <c r="F21" s="4">
        <v>29.877113000000001</v>
      </c>
      <c r="G21" s="4">
        <v>29.385517</v>
      </c>
      <c r="H21" s="4">
        <v>30.81625</v>
      </c>
      <c r="I21" s="4">
        <v>29.797592000000002</v>
      </c>
      <c r="J21" s="4">
        <v>28.685189999999999</v>
      </c>
      <c r="K21" s="4"/>
      <c r="L21" s="4"/>
      <c r="M21" s="4"/>
      <c r="N21" s="4">
        <f t="shared" ref="N21:N32" si="2">AVERAGE(B21:M21)</f>
        <v>29.99892044444444</v>
      </c>
    </row>
    <row r="22" spans="1:14" ht="18.75" x14ac:dyDescent="0.3">
      <c r="A22" s="3" t="s">
        <v>6</v>
      </c>
      <c r="B22" s="4">
        <v>29.355906000000001</v>
      </c>
      <c r="C22" s="4">
        <v>29.37294</v>
      </c>
      <c r="D22" s="4">
        <v>28.965188999999999</v>
      </c>
      <c r="E22" s="4">
        <v>29.285291999999998</v>
      </c>
      <c r="F22" s="4">
        <v>29.833271</v>
      </c>
      <c r="G22" s="4">
        <v>29.186782999999998</v>
      </c>
      <c r="H22" s="4">
        <v>28.985102000000001</v>
      </c>
      <c r="I22" s="4">
        <v>28.622402000000001</v>
      </c>
      <c r="J22" s="4">
        <v>28.435687999999999</v>
      </c>
      <c r="K22" s="4"/>
      <c r="L22" s="4"/>
      <c r="M22" s="4"/>
      <c r="N22" s="4">
        <f t="shared" si="2"/>
        <v>29.115841444444445</v>
      </c>
    </row>
    <row r="23" spans="1:14" ht="18.75" x14ac:dyDescent="0.3">
      <c r="A23" s="3" t="s">
        <v>7</v>
      </c>
      <c r="B23" s="4">
        <v>29.477730000000001</v>
      </c>
      <c r="C23" s="4">
        <v>29.590878</v>
      </c>
      <c r="D23" s="4">
        <v>29.61946</v>
      </c>
      <c r="E23" s="4">
        <v>29.844227</v>
      </c>
      <c r="F23" s="4">
        <v>29.991133000000001</v>
      </c>
      <c r="G23" s="4">
        <v>29.288834000000001</v>
      </c>
      <c r="H23" s="4">
        <v>29.526913</v>
      </c>
      <c r="I23" s="4">
        <v>29.140484000000001</v>
      </c>
      <c r="J23" s="4">
        <v>28.813842999999999</v>
      </c>
      <c r="K23" s="4"/>
      <c r="L23" s="4"/>
      <c r="M23" s="4"/>
      <c r="N23" s="4">
        <f t="shared" si="2"/>
        <v>29.477055777777782</v>
      </c>
    </row>
    <row r="24" spans="1:14" ht="18.75" x14ac:dyDescent="0.3">
      <c r="A24" s="3" t="s">
        <v>8</v>
      </c>
      <c r="B24" s="4">
        <v>29.884433999999999</v>
      </c>
      <c r="C24" s="4">
        <v>29.217585</v>
      </c>
      <c r="D24" s="4">
        <v>29.926098</v>
      </c>
      <c r="E24" s="4">
        <v>29.596546</v>
      </c>
      <c r="F24" s="4">
        <v>29.721838000000002</v>
      </c>
      <c r="G24" s="4">
        <v>29.273551999999999</v>
      </c>
      <c r="H24" s="4">
        <v>30.424723</v>
      </c>
      <c r="I24" s="4">
        <v>29.627362999999999</v>
      </c>
      <c r="J24" s="4">
        <v>28.775725999999999</v>
      </c>
      <c r="K24" s="4"/>
      <c r="L24" s="4"/>
      <c r="M24" s="4"/>
      <c r="N24" s="4">
        <f t="shared" si="2"/>
        <v>29.605318333333329</v>
      </c>
    </row>
    <row r="25" spans="1:14" ht="18.75" x14ac:dyDescent="0.3">
      <c r="A25" s="3" t="s">
        <v>9</v>
      </c>
      <c r="B25" s="4">
        <v>29.988489999999999</v>
      </c>
      <c r="C25" s="4">
        <v>29.790361000000001</v>
      </c>
      <c r="D25" s="4">
        <v>30.284872</v>
      </c>
      <c r="E25" s="4">
        <v>30.485105999999998</v>
      </c>
      <c r="F25" s="4">
        <v>29.996265000000001</v>
      </c>
      <c r="G25" s="4">
        <v>29.618963000000001</v>
      </c>
      <c r="H25" s="4">
        <v>30.110925999999999</v>
      </c>
      <c r="I25" s="4">
        <v>30.033861000000002</v>
      </c>
      <c r="J25" s="4">
        <v>29.226877000000002</v>
      </c>
      <c r="K25" s="4"/>
      <c r="L25" s="4"/>
      <c r="M25" s="4"/>
      <c r="N25" s="4">
        <f t="shared" si="2"/>
        <v>29.948413444444448</v>
      </c>
    </row>
    <row r="26" spans="1:14" ht="18.75" x14ac:dyDescent="0.3">
      <c r="A26" s="3" t="s">
        <v>10</v>
      </c>
      <c r="B26" s="4">
        <v>27.626619999999999</v>
      </c>
      <c r="C26" s="4">
        <v>27.765768000000001</v>
      </c>
      <c r="D26" s="4">
        <v>28.129332999999999</v>
      </c>
      <c r="E26" s="4">
        <v>28.522729999999999</v>
      </c>
      <c r="F26" s="4">
        <v>27.97081</v>
      </c>
      <c r="G26" s="4">
        <v>27.741403999999999</v>
      </c>
      <c r="H26" s="4">
        <v>28.374773000000001</v>
      </c>
      <c r="I26" s="4">
        <v>28.114487</v>
      </c>
      <c r="J26" s="4">
        <v>27.186232</v>
      </c>
      <c r="K26" s="4"/>
      <c r="L26" s="4"/>
      <c r="M26" s="4"/>
      <c r="N26" s="4">
        <f t="shared" si="2"/>
        <v>27.936906333333333</v>
      </c>
    </row>
    <row r="27" spans="1:14" ht="18.75" x14ac:dyDescent="0.3">
      <c r="A27" s="3" t="s">
        <v>11</v>
      </c>
      <c r="B27" s="4">
        <v>29.420228999999999</v>
      </c>
      <c r="C27" s="4">
        <v>29.338726000000001</v>
      </c>
      <c r="D27" s="4">
        <v>28.888361</v>
      </c>
      <c r="E27" s="4">
        <v>29.127683999999999</v>
      </c>
      <c r="F27" s="4">
        <v>29.763404999999999</v>
      </c>
      <c r="G27" s="4">
        <v>29.119232</v>
      </c>
      <c r="H27" s="4">
        <v>29.028828000000001</v>
      </c>
      <c r="I27" s="4">
        <v>28.595488</v>
      </c>
      <c r="J27" s="4">
        <v>28.400423</v>
      </c>
      <c r="K27" s="4"/>
      <c r="L27" s="4"/>
      <c r="M27" s="4"/>
      <c r="N27" s="4">
        <f t="shared" si="2"/>
        <v>29.075819555555558</v>
      </c>
    </row>
    <row r="28" spans="1:14" ht="18.75" x14ac:dyDescent="0.3">
      <c r="A28" s="3" t="s">
        <v>12</v>
      </c>
      <c r="B28" s="4">
        <v>31.852245</v>
      </c>
      <c r="C28" s="4">
        <v>29.982904000000001</v>
      </c>
      <c r="D28" s="4">
        <v>31.313454</v>
      </c>
      <c r="E28" s="4">
        <v>30.694310000000002</v>
      </c>
      <c r="F28" s="4">
        <v>30.452423</v>
      </c>
      <c r="G28" s="4">
        <v>29.860783000000001</v>
      </c>
      <c r="H28" s="4">
        <v>32.070704999999997</v>
      </c>
      <c r="I28" s="4">
        <v>30.000795</v>
      </c>
      <c r="J28" s="4">
        <v>28.841839</v>
      </c>
      <c r="K28" s="4"/>
      <c r="L28" s="4"/>
      <c r="M28" s="4"/>
      <c r="N28" s="4">
        <f t="shared" si="2"/>
        <v>30.563273111111116</v>
      </c>
    </row>
    <row r="29" spans="1:14" ht="18.75" x14ac:dyDescent="0.3">
      <c r="A29" s="3" t="s">
        <v>13</v>
      </c>
      <c r="B29" s="4">
        <v>31.323105000000002</v>
      </c>
      <c r="C29" s="4">
        <v>30.179677999999999</v>
      </c>
      <c r="D29" s="4">
        <v>30.84975</v>
      </c>
      <c r="E29" s="4">
        <v>30.565382</v>
      </c>
      <c r="F29" s="4">
        <v>30.500029000000001</v>
      </c>
      <c r="G29" s="4">
        <v>30.094355</v>
      </c>
      <c r="H29" s="4">
        <v>31.348433</v>
      </c>
      <c r="I29" s="4">
        <v>30.087596999999999</v>
      </c>
      <c r="J29" s="4">
        <v>29.094738</v>
      </c>
      <c r="K29" s="4"/>
      <c r="L29" s="4"/>
      <c r="M29" s="4"/>
      <c r="N29" s="4">
        <f t="shared" si="2"/>
        <v>30.449229666666668</v>
      </c>
    </row>
    <row r="30" spans="1:14" ht="18.75" x14ac:dyDescent="0.3">
      <c r="A30" s="3" t="s">
        <v>14</v>
      </c>
      <c r="B30" s="4">
        <v>29.322676000000001</v>
      </c>
      <c r="C30" s="4">
        <v>29.218187</v>
      </c>
      <c r="D30" s="4">
        <v>29.36299</v>
      </c>
      <c r="E30" s="4">
        <v>29.428694</v>
      </c>
      <c r="F30" s="4">
        <v>29.563763000000002</v>
      </c>
      <c r="G30" s="4">
        <v>28.961604999999999</v>
      </c>
      <c r="H30" s="4">
        <v>29.289711</v>
      </c>
      <c r="I30" s="4">
        <v>28.766033</v>
      </c>
      <c r="J30" s="4">
        <v>28.318708000000001</v>
      </c>
      <c r="K30" s="4"/>
      <c r="L30" s="4"/>
      <c r="M30" s="4"/>
      <c r="N30" s="4">
        <f t="shared" si="2"/>
        <v>29.136929666666667</v>
      </c>
    </row>
    <row r="31" spans="1:14" ht="18.75" x14ac:dyDescent="0.3">
      <c r="A31" s="3" t="s">
        <v>15</v>
      </c>
      <c r="B31" s="4">
        <v>30.035233000000002</v>
      </c>
      <c r="C31" s="4">
        <v>29.464670000000002</v>
      </c>
      <c r="D31" s="4">
        <v>30.149448</v>
      </c>
      <c r="E31" s="4">
        <v>30.072116999999999</v>
      </c>
      <c r="F31" s="4">
        <v>29.700044999999999</v>
      </c>
      <c r="G31" s="4">
        <v>29.235903</v>
      </c>
      <c r="H31" s="4">
        <v>30.193131999999999</v>
      </c>
      <c r="I31" s="4">
        <v>29.485506000000001</v>
      </c>
      <c r="J31" s="4">
        <v>28.542124000000001</v>
      </c>
      <c r="K31" s="4"/>
      <c r="L31" s="4"/>
      <c r="M31" s="4"/>
      <c r="N31" s="4">
        <f t="shared" si="2"/>
        <v>29.653130888888889</v>
      </c>
    </row>
    <row r="32" spans="1:14" ht="18.75" x14ac:dyDescent="0.3">
      <c r="A32" s="3" t="s">
        <v>16</v>
      </c>
      <c r="B32" s="4">
        <v>31.203711999999999</v>
      </c>
      <c r="C32" s="4">
        <v>29.762070000000001</v>
      </c>
      <c r="D32" s="4">
        <v>30.892986000000001</v>
      </c>
      <c r="E32" s="4">
        <v>30.594963</v>
      </c>
      <c r="F32" s="4">
        <v>30.241215</v>
      </c>
      <c r="G32" s="4">
        <v>29.691037999999999</v>
      </c>
      <c r="H32" s="4">
        <v>31.47635</v>
      </c>
      <c r="I32" s="4">
        <v>29.965857</v>
      </c>
      <c r="J32" s="4">
        <v>28.891119</v>
      </c>
      <c r="K32" s="4"/>
      <c r="L32" s="4"/>
      <c r="M32" s="4"/>
      <c r="N32" s="4">
        <f t="shared" si="2"/>
        <v>30.302145555555555</v>
      </c>
    </row>
    <row r="33" spans="1:14" ht="18.75" x14ac:dyDescent="0.3">
      <c r="A33" s="6" t="s">
        <v>26</v>
      </c>
      <c r="B33" s="7">
        <f t="shared" ref="B33" si="3">AVERAGE(B20:B32)</f>
        <v>29.70354007692308</v>
      </c>
      <c r="C33" s="7">
        <f t="shared" ref="C33" si="4">AVERAGE(C20:C32)</f>
        <v>29.277359769230774</v>
      </c>
      <c r="D33" s="7">
        <f t="shared" ref="D33" si="5">AVERAGE(D20:D32)</f>
        <v>29.675836307692311</v>
      </c>
      <c r="E33" s="7">
        <f t="shared" ref="E33" si="6">AVERAGE(E20:E32)</f>
        <v>29.691954923076921</v>
      </c>
      <c r="F33" s="7">
        <f t="shared" ref="F33" si="7">AVERAGE(F20:F32)</f>
        <v>29.612198538461538</v>
      </c>
      <c r="G33" s="7">
        <f t="shared" ref="G33:J33" si="8">AVERAGE(G20:G32)</f>
        <v>29.137613384615388</v>
      </c>
      <c r="H33" s="7">
        <f t="shared" si="8"/>
        <v>29.88822484615385</v>
      </c>
      <c r="I33" s="7">
        <f t="shared" si="8"/>
        <v>29.221410615384613</v>
      </c>
      <c r="J33" s="7">
        <f t="shared" si="8"/>
        <v>28.483818769230766</v>
      </c>
      <c r="K33" s="7"/>
      <c r="L33" s="7"/>
      <c r="M33" s="7"/>
      <c r="N33" s="7">
        <f>AVERAGE(B33:M33)</f>
        <v>29.41021747008547</v>
      </c>
    </row>
    <row r="35" spans="1:14" ht="23.25" x14ac:dyDescent="0.25">
      <c r="A35" s="8" t="s">
        <v>36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ht="18.75" x14ac:dyDescent="0.25">
      <c r="A36" s="2" t="s">
        <v>25</v>
      </c>
      <c r="B36" s="2" t="s">
        <v>0</v>
      </c>
      <c r="C36" s="2" t="s">
        <v>1</v>
      </c>
      <c r="D36" s="2" t="s">
        <v>2</v>
      </c>
      <c r="E36" s="2" t="s">
        <v>3</v>
      </c>
      <c r="F36" s="2" t="s">
        <v>17</v>
      </c>
      <c r="G36" s="2" t="s">
        <v>18</v>
      </c>
      <c r="H36" s="2" t="s">
        <v>19</v>
      </c>
      <c r="I36" s="2" t="s">
        <v>20</v>
      </c>
      <c r="J36" s="2" t="s">
        <v>21</v>
      </c>
      <c r="K36" s="2" t="s">
        <v>22</v>
      </c>
      <c r="L36" s="2" t="s">
        <v>23</v>
      </c>
      <c r="M36" s="2" t="s">
        <v>24</v>
      </c>
      <c r="N36" s="2" t="s">
        <v>26</v>
      </c>
    </row>
    <row r="37" spans="1:14" ht="18.75" x14ac:dyDescent="0.3">
      <c r="A37" s="3" t="s">
        <v>4</v>
      </c>
      <c r="B37" s="4">
        <v>21.539639000000001</v>
      </c>
      <c r="C37" s="4">
        <v>21.656414000000002</v>
      </c>
      <c r="D37" s="4">
        <v>21.064046999999999</v>
      </c>
      <c r="E37" s="4">
        <v>21.89096</v>
      </c>
      <c r="F37" s="4">
        <v>22.489511</v>
      </c>
      <c r="G37" s="4">
        <v>22.562560999999999</v>
      </c>
      <c r="H37" s="4">
        <v>21.305298000000001</v>
      </c>
      <c r="I37" s="4">
        <v>22.723127000000002</v>
      </c>
      <c r="J37" s="4">
        <v>22.325499000000001</v>
      </c>
      <c r="K37" s="4"/>
      <c r="L37" s="4"/>
      <c r="M37" s="4"/>
      <c r="N37" s="4">
        <f>AVERAGE(B37:M37)</f>
        <v>21.950783999999999</v>
      </c>
    </row>
    <row r="38" spans="1:14" ht="18.75" x14ac:dyDescent="0.3">
      <c r="A38" s="3" t="s">
        <v>5</v>
      </c>
      <c r="B38" s="4">
        <v>25.287894999999999</v>
      </c>
      <c r="C38" s="4">
        <v>23.745417</v>
      </c>
      <c r="D38" s="4">
        <v>24.455368</v>
      </c>
      <c r="E38" s="4">
        <v>24.897376999999999</v>
      </c>
      <c r="F38" s="4">
        <v>24.597586</v>
      </c>
      <c r="G38" s="4">
        <v>23.992943</v>
      </c>
      <c r="H38" s="4">
        <v>24.780360000000002</v>
      </c>
      <c r="I38" s="4">
        <v>24.268267000000002</v>
      </c>
      <c r="J38" s="4">
        <v>23.542722999999999</v>
      </c>
      <c r="K38" s="4"/>
      <c r="L38" s="4"/>
      <c r="M38" s="4"/>
      <c r="N38" s="4">
        <f t="shared" ref="N38:N49" si="9">AVERAGE(B38:M38)</f>
        <v>24.396437333333335</v>
      </c>
    </row>
    <row r="39" spans="1:14" ht="18.75" x14ac:dyDescent="0.3">
      <c r="A39" s="3" t="s">
        <v>6</v>
      </c>
      <c r="B39" s="4">
        <v>23.860396999999999</v>
      </c>
      <c r="C39" s="4">
        <v>23.400839000000001</v>
      </c>
      <c r="D39" s="4">
        <v>22.606777000000001</v>
      </c>
      <c r="E39" s="4">
        <v>22.767593000000002</v>
      </c>
      <c r="F39" s="4">
        <v>23.823568000000002</v>
      </c>
      <c r="G39" s="4">
        <v>23.744450000000001</v>
      </c>
      <c r="H39" s="4">
        <v>23.403908000000001</v>
      </c>
      <c r="I39" s="4">
        <v>23.306393</v>
      </c>
      <c r="J39" s="4">
        <v>23.466743000000001</v>
      </c>
      <c r="K39" s="4"/>
      <c r="L39" s="4"/>
      <c r="M39" s="4"/>
      <c r="N39" s="4">
        <f t="shared" si="9"/>
        <v>23.375629777777778</v>
      </c>
    </row>
    <row r="40" spans="1:14" ht="18.75" x14ac:dyDescent="0.3">
      <c r="A40" s="3" t="s">
        <v>7</v>
      </c>
      <c r="B40" s="4">
        <v>25.885386</v>
      </c>
      <c r="C40" s="4">
        <v>25.129372</v>
      </c>
      <c r="D40" s="4">
        <v>25.655989000000002</v>
      </c>
      <c r="E40" s="4">
        <v>26.071272</v>
      </c>
      <c r="F40" s="4">
        <v>25.650192000000001</v>
      </c>
      <c r="G40" s="4">
        <v>25.147366000000002</v>
      </c>
      <c r="H40" s="4">
        <v>26.082832</v>
      </c>
      <c r="I40" s="4">
        <v>25.159327999999999</v>
      </c>
      <c r="J40" s="4">
        <v>25.038886999999999</v>
      </c>
      <c r="K40" s="4"/>
      <c r="L40" s="4"/>
      <c r="M40" s="4"/>
      <c r="N40" s="4">
        <f t="shared" si="9"/>
        <v>25.535624888888886</v>
      </c>
    </row>
    <row r="41" spans="1:14" ht="18.75" x14ac:dyDescent="0.3">
      <c r="A41" s="3" t="s">
        <v>8</v>
      </c>
      <c r="B41" s="4">
        <v>24.038720999999999</v>
      </c>
      <c r="C41" s="4">
        <v>23.328275999999999</v>
      </c>
      <c r="D41" s="4">
        <v>22.967264</v>
      </c>
      <c r="E41" s="4">
        <v>22.825430000000001</v>
      </c>
      <c r="F41" s="4">
        <v>24.188759999999998</v>
      </c>
      <c r="G41" s="4">
        <v>24.080929000000001</v>
      </c>
      <c r="H41" s="4">
        <v>23.425063999999999</v>
      </c>
      <c r="I41" s="4">
        <v>24.248978000000001</v>
      </c>
      <c r="J41" s="4">
        <v>23.783339000000002</v>
      </c>
      <c r="K41" s="4"/>
      <c r="L41" s="4"/>
      <c r="M41" s="4"/>
      <c r="N41" s="4">
        <f t="shared" si="9"/>
        <v>23.654084555555556</v>
      </c>
    </row>
    <row r="42" spans="1:14" ht="18.75" x14ac:dyDescent="0.3">
      <c r="A42" s="3" t="s">
        <v>9</v>
      </c>
      <c r="B42" s="4">
        <v>26.515324</v>
      </c>
      <c r="C42" s="4">
        <v>25.552647</v>
      </c>
      <c r="D42" s="4">
        <v>26.003214</v>
      </c>
      <c r="E42" s="4">
        <v>26.473845000000001</v>
      </c>
      <c r="F42" s="4">
        <v>26.171990999999998</v>
      </c>
      <c r="G42" s="4">
        <v>25.649286</v>
      </c>
      <c r="H42" s="4">
        <v>26.184253999999999</v>
      </c>
      <c r="I42" s="4">
        <v>25.930069</v>
      </c>
      <c r="J42" s="4">
        <v>25.386406000000001</v>
      </c>
      <c r="K42" s="4"/>
      <c r="L42" s="4"/>
      <c r="M42" s="4"/>
      <c r="N42" s="4">
        <f t="shared" si="9"/>
        <v>25.98522622222222</v>
      </c>
    </row>
    <row r="43" spans="1:14" ht="18.75" x14ac:dyDescent="0.3">
      <c r="A43" s="3" t="s">
        <v>10</v>
      </c>
      <c r="B43" s="4">
        <v>22.981021999999999</v>
      </c>
      <c r="C43" s="4">
        <v>22.198988</v>
      </c>
      <c r="D43" s="4">
        <v>22.350473000000001</v>
      </c>
      <c r="E43" s="4">
        <v>23.097141000000001</v>
      </c>
      <c r="F43" s="4">
        <v>23.042660000000001</v>
      </c>
      <c r="G43" s="4">
        <v>22.806398000000002</v>
      </c>
      <c r="H43" s="4">
        <v>22.433254000000002</v>
      </c>
      <c r="I43" s="4">
        <v>23.116394</v>
      </c>
      <c r="J43" s="4">
        <v>22.489509999999999</v>
      </c>
      <c r="K43" s="4"/>
      <c r="L43" s="4"/>
      <c r="M43" s="4"/>
      <c r="N43" s="4">
        <f t="shared" si="9"/>
        <v>22.723982222222219</v>
      </c>
    </row>
    <row r="44" spans="1:14" ht="18.75" x14ac:dyDescent="0.3">
      <c r="A44" s="3" t="s">
        <v>11</v>
      </c>
      <c r="B44" s="4">
        <v>23.903193000000002</v>
      </c>
      <c r="C44" s="4">
        <v>23.625962999999999</v>
      </c>
      <c r="D44" s="4">
        <v>22.493410000000001</v>
      </c>
      <c r="E44" s="4">
        <v>22.627907</v>
      </c>
      <c r="F44" s="4">
        <v>24.006512000000001</v>
      </c>
      <c r="G44" s="4">
        <v>23.88936</v>
      </c>
      <c r="H44" s="4">
        <v>23.284164000000001</v>
      </c>
      <c r="I44" s="4">
        <v>23.444375999999998</v>
      </c>
      <c r="J44" s="4">
        <v>23.677813</v>
      </c>
      <c r="K44" s="4"/>
      <c r="L44" s="4"/>
      <c r="M44" s="4"/>
      <c r="N44" s="4">
        <f t="shared" si="9"/>
        <v>23.439188666666666</v>
      </c>
    </row>
    <row r="45" spans="1:14" ht="18.75" x14ac:dyDescent="0.3">
      <c r="A45" s="3" t="s">
        <v>12</v>
      </c>
      <c r="B45" s="4">
        <v>23.835660000000001</v>
      </c>
      <c r="C45" s="4">
        <v>23.011210999999999</v>
      </c>
      <c r="D45" s="4">
        <v>22.47569</v>
      </c>
      <c r="E45" s="4">
        <v>22.658579</v>
      </c>
      <c r="F45" s="4">
        <v>23.593771</v>
      </c>
      <c r="G45" s="4">
        <v>23.506512000000001</v>
      </c>
      <c r="H45" s="4">
        <v>23.139451999999999</v>
      </c>
      <c r="I45" s="4">
        <v>23.582968000000001</v>
      </c>
      <c r="J45" s="4">
        <v>23.205069999999999</v>
      </c>
      <c r="K45" s="4"/>
      <c r="L45" s="4"/>
      <c r="M45" s="4"/>
      <c r="N45" s="4">
        <f t="shared" si="9"/>
        <v>23.223212555555559</v>
      </c>
    </row>
    <row r="46" spans="1:14" ht="18.75" x14ac:dyDescent="0.3">
      <c r="A46" s="3" t="s">
        <v>13</v>
      </c>
      <c r="B46" s="4">
        <v>24.527654999999999</v>
      </c>
      <c r="C46" s="4">
        <v>24.123705000000001</v>
      </c>
      <c r="D46" s="4">
        <v>23.407540999999998</v>
      </c>
      <c r="E46" s="4">
        <v>23.959564</v>
      </c>
      <c r="F46" s="4">
        <v>24.642863999999999</v>
      </c>
      <c r="G46" s="4">
        <v>24.597463999999999</v>
      </c>
      <c r="H46" s="4">
        <v>23.972577999999999</v>
      </c>
      <c r="I46" s="4">
        <v>24.627141999999999</v>
      </c>
      <c r="J46" s="4">
        <v>24.183396999999999</v>
      </c>
      <c r="K46" s="4"/>
      <c r="L46" s="4"/>
      <c r="M46" s="4"/>
      <c r="N46" s="4">
        <f t="shared" si="9"/>
        <v>24.226878888888887</v>
      </c>
    </row>
    <row r="47" spans="1:14" ht="18.75" x14ac:dyDescent="0.3">
      <c r="A47" s="3" t="s">
        <v>14</v>
      </c>
      <c r="B47" s="4">
        <v>24.793398</v>
      </c>
      <c r="C47" s="4">
        <v>24.21001</v>
      </c>
      <c r="D47" s="4">
        <v>23.980957</v>
      </c>
      <c r="E47" s="4">
        <v>24.363596000000001</v>
      </c>
      <c r="F47" s="4">
        <v>24.640727999999999</v>
      </c>
      <c r="G47" s="4">
        <v>24.324738</v>
      </c>
      <c r="H47" s="4">
        <v>24.299809</v>
      </c>
      <c r="I47" s="4">
        <v>24.211168000000001</v>
      </c>
      <c r="J47" s="4">
        <v>24.307081</v>
      </c>
      <c r="K47" s="4"/>
      <c r="L47" s="4"/>
      <c r="M47" s="4"/>
      <c r="N47" s="4">
        <f t="shared" si="9"/>
        <v>24.347942777777781</v>
      </c>
    </row>
    <row r="48" spans="1:14" ht="18.75" x14ac:dyDescent="0.3">
      <c r="A48" s="3" t="s">
        <v>15</v>
      </c>
      <c r="B48" s="4">
        <v>25.126553000000001</v>
      </c>
      <c r="C48" s="4">
        <v>24.159013999999999</v>
      </c>
      <c r="D48" s="4">
        <v>24.020116999999999</v>
      </c>
      <c r="E48" s="4">
        <v>24.553839</v>
      </c>
      <c r="F48" s="4">
        <v>24.859580000000001</v>
      </c>
      <c r="G48" s="4">
        <v>24.327010999999999</v>
      </c>
      <c r="H48" s="4">
        <v>24.316088000000001</v>
      </c>
      <c r="I48" s="4">
        <v>24.388186999999999</v>
      </c>
      <c r="J48" s="4">
        <v>23.940355</v>
      </c>
      <c r="K48" s="4"/>
      <c r="L48" s="4"/>
      <c r="M48" s="4"/>
      <c r="N48" s="4">
        <f t="shared" si="9"/>
        <v>24.410082666666668</v>
      </c>
    </row>
    <row r="49" spans="1:14" ht="18.75" x14ac:dyDescent="0.3">
      <c r="A49" s="3" t="s">
        <v>16</v>
      </c>
      <c r="B49" s="4">
        <v>25.363727999999998</v>
      </c>
      <c r="C49" s="4">
        <v>24.380189999999999</v>
      </c>
      <c r="D49" s="4">
        <v>24.186419999999998</v>
      </c>
      <c r="E49" s="4">
        <v>24.422215000000001</v>
      </c>
      <c r="F49" s="4">
        <v>24.951198999999999</v>
      </c>
      <c r="G49" s="4">
        <v>24.776693000000002</v>
      </c>
      <c r="H49" s="4">
        <v>24.744931999999999</v>
      </c>
      <c r="I49" s="4">
        <v>24.972317</v>
      </c>
      <c r="J49" s="4">
        <v>24.440017999999998</v>
      </c>
      <c r="K49" s="4"/>
      <c r="L49" s="4"/>
      <c r="M49" s="4"/>
      <c r="N49" s="4">
        <f t="shared" si="9"/>
        <v>24.693079111111114</v>
      </c>
    </row>
    <row r="50" spans="1:14" ht="18.75" x14ac:dyDescent="0.3">
      <c r="A50" s="6" t="s">
        <v>26</v>
      </c>
      <c r="B50" s="7">
        <f t="shared" ref="B50" si="10">AVERAGE(B37:B49)</f>
        <v>24.435274692307694</v>
      </c>
      <c r="C50" s="7">
        <f t="shared" ref="C50" si="11">AVERAGE(C37:C49)</f>
        <v>23.732465076923081</v>
      </c>
      <c r="D50" s="7">
        <f t="shared" ref="D50" si="12">AVERAGE(D37:D49)</f>
        <v>23.512866692307696</v>
      </c>
      <c r="E50" s="7">
        <f t="shared" ref="E50" si="13">AVERAGE(E37:E49)</f>
        <v>23.893024461538459</v>
      </c>
      <c r="F50" s="7">
        <f t="shared" ref="F50" si="14">AVERAGE(F37:F49)</f>
        <v>24.358378615384613</v>
      </c>
      <c r="G50" s="7">
        <f t="shared" ref="G50:J50" si="15">AVERAGE(G37:G49)</f>
        <v>24.108131615384625</v>
      </c>
      <c r="H50" s="7">
        <f t="shared" si="15"/>
        <v>23.951691769230766</v>
      </c>
      <c r="I50" s="7">
        <f t="shared" si="15"/>
        <v>24.152208769230771</v>
      </c>
      <c r="J50" s="7">
        <f t="shared" si="15"/>
        <v>23.829756999999997</v>
      </c>
      <c r="K50" s="7"/>
      <c r="L50" s="7"/>
      <c r="M50" s="7"/>
      <c r="N50" s="7">
        <f>AVERAGE(B50:M50)</f>
        <v>23.997088743589746</v>
      </c>
    </row>
  </sheetData>
  <mergeCells count="3">
    <mergeCell ref="A1:N1"/>
    <mergeCell ref="A18:N18"/>
    <mergeCell ref="A35:N35"/>
  </mergeCells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47EA0-526F-4DB0-8B95-BD6A4BD67F2C}">
  <dimension ref="A1:N50"/>
  <sheetViews>
    <sheetView zoomScale="80" zoomScaleNormal="80" workbookViewId="0">
      <selection activeCell="M46" sqref="M46"/>
    </sheetView>
  </sheetViews>
  <sheetFormatPr baseColWidth="10" defaultColWidth="9.140625" defaultRowHeight="15" x14ac:dyDescent="0.25"/>
  <cols>
    <col min="1" max="1" width="11.85546875" bestFit="1" customWidth="1"/>
    <col min="14" max="14" width="11.85546875" bestFit="1" customWidth="1"/>
  </cols>
  <sheetData>
    <row r="1" spans="1:14" ht="23.25" x14ac:dyDescent="0.25">
      <c r="A1" s="8" t="s">
        <v>34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8.75" x14ac:dyDescent="0.25">
      <c r="A2" s="2" t="s">
        <v>25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26</v>
      </c>
    </row>
    <row r="3" spans="1:14" ht="18.75" x14ac:dyDescent="0.3">
      <c r="A3" s="3" t="s">
        <v>4</v>
      </c>
      <c r="B3" s="4">
        <v>23.775898000000002</v>
      </c>
      <c r="C3" s="4">
        <v>23.429397999999999</v>
      </c>
      <c r="D3" s="4">
        <v>23.890170999999999</v>
      </c>
      <c r="E3" s="4">
        <v>24.147449999999999</v>
      </c>
      <c r="F3" s="4">
        <v>25.101624999999999</v>
      </c>
      <c r="G3" s="4">
        <v>24.961421999999999</v>
      </c>
      <c r="H3">
        <v>24.744669999999999</v>
      </c>
      <c r="I3">
        <v>24.568560000000002</v>
      </c>
      <c r="J3">
        <v>24.594128000000001</v>
      </c>
      <c r="K3" s="4"/>
      <c r="L3" s="4"/>
      <c r="M3" s="4"/>
      <c r="N3" s="4">
        <f>AVERAGE(B3:M3)</f>
        <v>24.357035777777778</v>
      </c>
    </row>
    <row r="4" spans="1:14" ht="18.75" x14ac:dyDescent="0.3">
      <c r="A4" s="3" t="s">
        <v>5</v>
      </c>
      <c r="B4" s="4">
        <v>27.106069999999999</v>
      </c>
      <c r="C4" s="4">
        <v>27.156127999999999</v>
      </c>
      <c r="D4" s="4">
        <v>27.694649999999999</v>
      </c>
      <c r="E4" s="4">
        <v>27.888186999999999</v>
      </c>
      <c r="F4" s="4">
        <v>27.092511999999999</v>
      </c>
      <c r="G4" s="4">
        <v>26.780066999999999</v>
      </c>
      <c r="H4">
        <v>26.907640000000001</v>
      </c>
      <c r="I4">
        <v>26.643684</v>
      </c>
      <c r="J4">
        <v>26.108716999999999</v>
      </c>
      <c r="K4" s="4"/>
      <c r="L4" s="4"/>
      <c r="M4" s="4"/>
      <c r="N4" s="4">
        <f t="shared" ref="N4:N15" si="0">AVERAGE(B4:M4)</f>
        <v>27.041961666666666</v>
      </c>
    </row>
    <row r="5" spans="1:14" ht="18.75" x14ac:dyDescent="0.3">
      <c r="A5" s="3" t="s">
        <v>6</v>
      </c>
      <c r="B5" s="4">
        <v>25.826485000000002</v>
      </c>
      <c r="C5" s="4">
        <v>25.743410000000001</v>
      </c>
      <c r="D5" s="4">
        <v>26.158639999999998</v>
      </c>
      <c r="E5" s="4">
        <v>26.412085000000001</v>
      </c>
      <c r="F5" s="4">
        <v>25.817802</v>
      </c>
      <c r="G5" s="4">
        <v>26.317679999999999</v>
      </c>
      <c r="H5">
        <v>26.231487000000001</v>
      </c>
      <c r="I5">
        <v>25.9849</v>
      </c>
      <c r="J5">
        <v>25.614723000000001</v>
      </c>
      <c r="K5" s="4"/>
      <c r="L5" s="4"/>
      <c r="M5" s="4"/>
      <c r="N5" s="4">
        <f t="shared" si="0"/>
        <v>26.011912444444445</v>
      </c>
    </row>
    <row r="6" spans="1:14" ht="18.75" x14ac:dyDescent="0.3">
      <c r="A6" s="3" t="s">
        <v>7</v>
      </c>
      <c r="B6" s="4">
        <v>27.152495999999999</v>
      </c>
      <c r="C6" s="4">
        <v>26.993342999999999</v>
      </c>
      <c r="D6" s="4">
        <v>27.307950999999999</v>
      </c>
      <c r="E6" s="4">
        <v>27.409656999999999</v>
      </c>
      <c r="F6" s="4">
        <v>26.890972000000001</v>
      </c>
      <c r="G6" s="4">
        <v>27.110771</v>
      </c>
      <c r="H6">
        <v>27.038933</v>
      </c>
      <c r="I6">
        <v>26.803629000000001</v>
      </c>
      <c r="J6">
        <v>26.543194</v>
      </c>
      <c r="K6" s="4"/>
      <c r="L6" s="4"/>
      <c r="M6" s="4"/>
      <c r="N6" s="4">
        <f t="shared" si="0"/>
        <v>27.027882888888886</v>
      </c>
    </row>
    <row r="7" spans="1:14" ht="18.75" x14ac:dyDescent="0.3">
      <c r="A7" s="3" t="s">
        <v>8</v>
      </c>
      <c r="B7" s="4">
        <v>26.121006000000001</v>
      </c>
      <c r="C7" s="4">
        <v>26.483896000000001</v>
      </c>
      <c r="D7" s="4">
        <v>27.066707999999998</v>
      </c>
      <c r="E7" s="4">
        <v>27.141072999999999</v>
      </c>
      <c r="F7" s="4">
        <v>27.000720000000001</v>
      </c>
      <c r="G7" s="4">
        <v>26.682324999999999</v>
      </c>
      <c r="H7">
        <v>26.6007</v>
      </c>
      <c r="I7">
        <v>26.384547999999999</v>
      </c>
      <c r="J7">
        <v>26.241503000000002</v>
      </c>
      <c r="K7" s="4"/>
      <c r="L7" s="4"/>
      <c r="M7" s="4"/>
      <c r="N7" s="4">
        <f t="shared" si="0"/>
        <v>26.635830999999996</v>
      </c>
    </row>
    <row r="8" spans="1:14" ht="18.75" x14ac:dyDescent="0.3">
      <c r="A8" s="3" t="s">
        <v>9</v>
      </c>
      <c r="B8" s="4">
        <v>27.702321999999999</v>
      </c>
      <c r="C8" s="4">
        <v>27.572344000000001</v>
      </c>
      <c r="D8" s="4">
        <v>27.863551999999999</v>
      </c>
      <c r="E8" s="4">
        <v>28.167952</v>
      </c>
      <c r="F8" s="4">
        <v>27.815289</v>
      </c>
      <c r="G8" s="4">
        <v>27.613748999999999</v>
      </c>
      <c r="H8">
        <v>27.631</v>
      </c>
      <c r="I8">
        <v>27.433239</v>
      </c>
      <c r="J8">
        <v>27.071379</v>
      </c>
      <c r="K8" s="4"/>
      <c r="L8" s="4"/>
      <c r="M8" s="4"/>
      <c r="N8" s="4">
        <f t="shared" si="0"/>
        <v>27.652314000000001</v>
      </c>
    </row>
    <row r="9" spans="1:14" ht="18.75" x14ac:dyDescent="0.3">
      <c r="A9" s="3" t="s">
        <v>10</v>
      </c>
      <c r="B9" s="4">
        <v>24.951557000000001</v>
      </c>
      <c r="C9" s="4">
        <v>24.821922000000001</v>
      </c>
      <c r="D9" s="4">
        <v>25.281842999999999</v>
      </c>
      <c r="E9" s="4">
        <v>25.479267</v>
      </c>
      <c r="F9" s="4">
        <v>25.640747000000001</v>
      </c>
      <c r="G9" s="4">
        <v>25.364933000000001</v>
      </c>
      <c r="H9">
        <v>25.337854</v>
      </c>
      <c r="I9">
        <v>25.10051</v>
      </c>
      <c r="J9">
        <v>24.868393000000001</v>
      </c>
      <c r="K9" s="4"/>
      <c r="L9" s="4"/>
      <c r="M9" s="4"/>
      <c r="N9" s="4">
        <f t="shared" si="0"/>
        <v>25.205225111111112</v>
      </c>
    </row>
    <row r="10" spans="1:14" ht="18.75" x14ac:dyDescent="0.3">
      <c r="A10" s="3" t="s">
        <v>11</v>
      </c>
      <c r="B10" s="4">
        <v>25.764109000000001</v>
      </c>
      <c r="C10" s="4">
        <v>25.649861999999999</v>
      </c>
      <c r="D10" s="4">
        <v>26.066088000000001</v>
      </c>
      <c r="E10" s="4">
        <v>26.432278</v>
      </c>
      <c r="F10" s="4">
        <v>25.895959999999999</v>
      </c>
      <c r="G10" s="4">
        <v>26.357769999999999</v>
      </c>
      <c r="H10">
        <v>26.311337999999999</v>
      </c>
      <c r="I10">
        <v>26.081823</v>
      </c>
      <c r="J10">
        <v>25.698414</v>
      </c>
      <c r="K10" s="4"/>
      <c r="L10" s="4"/>
      <c r="M10" s="4"/>
      <c r="N10" s="4">
        <f t="shared" si="0"/>
        <v>26.028626888888894</v>
      </c>
    </row>
    <row r="11" spans="1:14" ht="18.75" x14ac:dyDescent="0.3">
      <c r="A11" s="3" t="s">
        <v>12</v>
      </c>
      <c r="B11" s="4">
        <v>26.684875000000002</v>
      </c>
      <c r="C11" s="4">
        <v>27.007092</v>
      </c>
      <c r="D11" s="4">
        <v>27.803816000000001</v>
      </c>
      <c r="E11" s="4">
        <v>27.929731</v>
      </c>
      <c r="F11" s="4">
        <v>27.084123999999999</v>
      </c>
      <c r="G11" s="4">
        <v>26.75817</v>
      </c>
      <c r="H11">
        <v>26.768699999999999</v>
      </c>
      <c r="I11">
        <v>26.547007000000001</v>
      </c>
      <c r="J11">
        <v>26.08586</v>
      </c>
      <c r="K11" s="4"/>
      <c r="L11" s="4"/>
      <c r="M11" s="4"/>
      <c r="N11" s="4">
        <f t="shared" si="0"/>
        <v>26.963263888888889</v>
      </c>
    </row>
    <row r="12" spans="1:14" ht="18.75" x14ac:dyDescent="0.3">
      <c r="A12" s="3" t="s">
        <v>13</v>
      </c>
      <c r="B12" s="4">
        <v>27.303571999999999</v>
      </c>
      <c r="C12" s="4">
        <v>27.214172000000001</v>
      </c>
      <c r="D12" s="4">
        <v>27.619785</v>
      </c>
      <c r="E12" s="4">
        <v>27.90362</v>
      </c>
      <c r="F12" s="4">
        <v>27.599459</v>
      </c>
      <c r="G12" s="4">
        <v>27.368027000000001</v>
      </c>
      <c r="H12">
        <v>27.316445999999999</v>
      </c>
      <c r="I12">
        <v>27.048811000000001</v>
      </c>
      <c r="J12">
        <v>26.656583999999999</v>
      </c>
      <c r="K12" s="4"/>
      <c r="L12" s="4"/>
      <c r="M12" s="4"/>
      <c r="N12" s="4">
        <f t="shared" si="0"/>
        <v>27.336719555555558</v>
      </c>
    </row>
    <row r="13" spans="1:14" ht="18.75" x14ac:dyDescent="0.3">
      <c r="A13" s="3" t="s">
        <v>14</v>
      </c>
      <c r="B13" s="4">
        <v>26.331859999999999</v>
      </c>
      <c r="C13" s="4">
        <v>26.156921000000001</v>
      </c>
      <c r="D13" s="4">
        <v>26.54278</v>
      </c>
      <c r="E13" s="4">
        <v>26.802983999999999</v>
      </c>
      <c r="F13" s="4">
        <v>26.332916000000001</v>
      </c>
      <c r="G13" s="4">
        <v>26.521318000000001</v>
      </c>
      <c r="H13">
        <v>26.469576</v>
      </c>
      <c r="I13">
        <v>26.263603</v>
      </c>
      <c r="J13">
        <v>26.007742</v>
      </c>
      <c r="K13" s="4"/>
      <c r="L13" s="4"/>
      <c r="M13" s="4"/>
      <c r="N13" s="4">
        <f t="shared" si="0"/>
        <v>26.381077777777776</v>
      </c>
    </row>
    <row r="14" spans="1:14" ht="18.75" x14ac:dyDescent="0.3">
      <c r="A14" s="3" t="s">
        <v>15</v>
      </c>
      <c r="B14" s="4">
        <v>26.844656000000001</v>
      </c>
      <c r="C14" s="4">
        <v>26.760684999999999</v>
      </c>
      <c r="D14" s="4">
        <v>27.163074000000002</v>
      </c>
      <c r="E14" s="4">
        <v>27.590959999999999</v>
      </c>
      <c r="F14" s="4">
        <v>27.003412000000001</v>
      </c>
      <c r="G14" s="4">
        <v>26.843499999999999</v>
      </c>
      <c r="H14">
        <v>26.873716000000002</v>
      </c>
      <c r="I14">
        <v>26.634853</v>
      </c>
      <c r="J14">
        <v>26.186122999999998</v>
      </c>
      <c r="K14" s="4"/>
      <c r="L14" s="4"/>
      <c r="M14" s="4"/>
      <c r="N14" s="4">
        <f t="shared" si="0"/>
        <v>26.877886555555556</v>
      </c>
    </row>
    <row r="15" spans="1:14" ht="18.75" x14ac:dyDescent="0.3">
      <c r="A15" s="3" t="s">
        <v>16</v>
      </c>
      <c r="B15" s="4">
        <v>27.220423</v>
      </c>
      <c r="C15" s="4">
        <v>27.522055000000002</v>
      </c>
      <c r="D15" s="4">
        <v>28.209990000000001</v>
      </c>
      <c r="E15" s="4">
        <v>28.257104999999999</v>
      </c>
      <c r="F15" s="4">
        <v>27.566659999999999</v>
      </c>
      <c r="G15" s="4">
        <v>27.220825000000001</v>
      </c>
      <c r="H15">
        <v>27.227394</v>
      </c>
      <c r="I15">
        <v>27.015560000000001</v>
      </c>
      <c r="J15">
        <v>26.607306999999999</v>
      </c>
      <c r="K15" s="4"/>
      <c r="L15" s="4"/>
      <c r="M15" s="4"/>
      <c r="N15" s="4">
        <f t="shared" si="0"/>
        <v>27.427479888888886</v>
      </c>
    </row>
    <row r="16" spans="1:14" ht="18.75" x14ac:dyDescent="0.3">
      <c r="A16" s="6" t="s">
        <v>26</v>
      </c>
      <c r="B16" s="7">
        <f t="shared" ref="B16:J16" si="1">AVERAGE(B3:B15)</f>
        <v>26.368102230769232</v>
      </c>
      <c r="C16" s="7">
        <f t="shared" si="1"/>
        <v>26.347017538461543</v>
      </c>
      <c r="D16" s="7">
        <f t="shared" si="1"/>
        <v>26.820696000000002</v>
      </c>
      <c r="E16" s="7">
        <f t="shared" si="1"/>
        <v>27.043257615384615</v>
      </c>
      <c r="F16" s="7">
        <f t="shared" si="1"/>
        <v>26.680169076923086</v>
      </c>
      <c r="G16" s="7">
        <f t="shared" si="1"/>
        <v>26.607735153846154</v>
      </c>
      <c r="H16" s="7">
        <f t="shared" si="1"/>
        <v>26.573804153846154</v>
      </c>
      <c r="I16" s="7">
        <f t="shared" si="1"/>
        <v>26.346978999999997</v>
      </c>
      <c r="J16" s="7">
        <f t="shared" si="1"/>
        <v>26.021851307692309</v>
      </c>
      <c r="K16" s="7"/>
      <c r="L16" s="7"/>
      <c r="M16" s="7"/>
      <c r="N16" s="7">
        <f>AVERAGE(B16:M16)</f>
        <v>26.534401341880347</v>
      </c>
    </row>
    <row r="18" spans="1:14" ht="23.25" x14ac:dyDescent="0.25">
      <c r="A18" s="8" t="s">
        <v>35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ht="18.75" x14ac:dyDescent="0.25">
      <c r="A19" s="2" t="s">
        <v>25</v>
      </c>
      <c r="B19" s="2" t="s">
        <v>0</v>
      </c>
      <c r="C19" s="2" t="s">
        <v>1</v>
      </c>
      <c r="D19" s="2" t="s">
        <v>2</v>
      </c>
      <c r="E19" s="2" t="s">
        <v>3</v>
      </c>
      <c r="F19" s="2" t="s">
        <v>17</v>
      </c>
      <c r="G19" s="2" t="s">
        <v>18</v>
      </c>
      <c r="H19" s="2" t="s">
        <v>19</v>
      </c>
      <c r="I19" s="2" t="s">
        <v>20</v>
      </c>
      <c r="J19" s="2" t="s">
        <v>21</v>
      </c>
      <c r="K19" s="2" t="s">
        <v>22</v>
      </c>
      <c r="L19" s="2" t="s">
        <v>23</v>
      </c>
      <c r="M19" s="2" t="s">
        <v>24</v>
      </c>
      <c r="N19" s="2" t="s">
        <v>26</v>
      </c>
    </row>
    <row r="20" spans="1:14" ht="18.75" x14ac:dyDescent="0.3">
      <c r="A20" s="3" t="s">
        <v>4</v>
      </c>
      <c r="B20" s="4">
        <v>26.642873999999999</v>
      </c>
      <c r="C20" s="4">
        <v>26.373404000000001</v>
      </c>
      <c r="D20" s="4">
        <v>26.896726999999998</v>
      </c>
      <c r="E20" s="4">
        <v>27.098369999999999</v>
      </c>
      <c r="F20" s="4">
        <v>27.769490999999999</v>
      </c>
      <c r="G20" s="4">
        <v>27.630436</v>
      </c>
      <c r="H20">
        <v>27.391408999999999</v>
      </c>
      <c r="I20">
        <v>27.284510000000001</v>
      </c>
      <c r="J20">
        <v>27.415801999999999</v>
      </c>
      <c r="K20" s="4"/>
      <c r="L20" s="4"/>
      <c r="M20" s="4"/>
      <c r="N20" s="4">
        <f>AVERAGE(B20:M20)</f>
        <v>27.167002555555559</v>
      </c>
    </row>
    <row r="21" spans="1:14" ht="18.75" x14ac:dyDescent="0.3">
      <c r="A21" s="3" t="s">
        <v>5</v>
      </c>
      <c r="B21" s="4">
        <v>30.040040999999999</v>
      </c>
      <c r="C21" s="4">
        <v>30.222667999999999</v>
      </c>
      <c r="D21" s="4">
        <v>30.882248000000001</v>
      </c>
      <c r="E21" s="4">
        <v>31.050754999999999</v>
      </c>
      <c r="F21" s="4">
        <v>30.015875000000001</v>
      </c>
      <c r="G21" s="4">
        <v>29.655007999999999</v>
      </c>
      <c r="H21">
        <v>29.662465999999998</v>
      </c>
      <c r="I21">
        <v>29.485924000000001</v>
      </c>
      <c r="J21">
        <v>29.112698000000002</v>
      </c>
      <c r="K21" s="4"/>
      <c r="L21" s="4"/>
      <c r="M21" s="4"/>
      <c r="N21" s="4">
        <f t="shared" ref="N21:N32" si="2">AVERAGE(B21:M21)</f>
        <v>30.014187000000007</v>
      </c>
    </row>
    <row r="22" spans="1:14" ht="18.75" x14ac:dyDescent="0.3">
      <c r="A22" s="3" t="s">
        <v>6</v>
      </c>
      <c r="B22" s="4">
        <v>29.193543999999999</v>
      </c>
      <c r="C22" s="4">
        <v>29.129189</v>
      </c>
      <c r="D22" s="4">
        <v>29.562784000000001</v>
      </c>
      <c r="E22" s="4">
        <v>29.645160000000001</v>
      </c>
      <c r="F22" s="4">
        <v>28.869607999999999</v>
      </c>
      <c r="G22" s="4">
        <v>29.428339000000001</v>
      </c>
      <c r="H22">
        <v>29.422419999999999</v>
      </c>
      <c r="I22">
        <v>29.194996</v>
      </c>
      <c r="J22">
        <v>28.752714000000001</v>
      </c>
      <c r="K22" s="4"/>
      <c r="L22" s="4"/>
      <c r="M22" s="4"/>
      <c r="N22" s="4">
        <f t="shared" si="2"/>
        <v>29.244306000000002</v>
      </c>
    </row>
    <row r="23" spans="1:14" ht="18.75" x14ac:dyDescent="0.3">
      <c r="A23" s="3" t="s">
        <v>7</v>
      </c>
      <c r="B23" s="4">
        <v>28.986315000000001</v>
      </c>
      <c r="C23" s="4">
        <v>28.780878000000001</v>
      </c>
      <c r="D23" s="4">
        <v>29.126349999999999</v>
      </c>
      <c r="E23" s="4">
        <v>29.382930000000002</v>
      </c>
      <c r="F23" s="4">
        <v>28.985626</v>
      </c>
      <c r="G23" s="4">
        <v>29.328555999999999</v>
      </c>
      <c r="H23">
        <v>29.289681999999999</v>
      </c>
      <c r="I23">
        <v>29.05565</v>
      </c>
      <c r="J23">
        <v>28.766273000000002</v>
      </c>
      <c r="K23" s="4"/>
      <c r="L23" s="4"/>
      <c r="M23" s="4"/>
      <c r="N23" s="4">
        <f t="shared" si="2"/>
        <v>29.078028888888891</v>
      </c>
    </row>
    <row r="24" spans="1:14" ht="18.75" x14ac:dyDescent="0.3">
      <c r="A24" s="3" t="s">
        <v>8</v>
      </c>
      <c r="B24" s="4">
        <v>29.788651999999999</v>
      </c>
      <c r="C24" s="4">
        <v>30.361471000000002</v>
      </c>
      <c r="D24" s="4">
        <v>31.016235000000002</v>
      </c>
      <c r="E24" s="4">
        <v>30.699207000000001</v>
      </c>
      <c r="F24" s="4">
        <v>29.912731000000001</v>
      </c>
      <c r="G24" s="4">
        <v>29.464873999999998</v>
      </c>
      <c r="H24">
        <v>29.444846999999999</v>
      </c>
      <c r="I24">
        <v>29.220917</v>
      </c>
      <c r="J24">
        <v>29.10558</v>
      </c>
      <c r="K24" s="4"/>
      <c r="L24" s="4"/>
      <c r="M24" s="4"/>
      <c r="N24" s="4">
        <f t="shared" si="2"/>
        <v>29.890501555555559</v>
      </c>
    </row>
    <row r="25" spans="1:14" ht="18.75" x14ac:dyDescent="0.3">
      <c r="A25" s="3" t="s">
        <v>9</v>
      </c>
      <c r="B25" s="4">
        <v>29.673051999999998</v>
      </c>
      <c r="C25" s="4">
        <v>29.576920999999999</v>
      </c>
      <c r="D25" s="4">
        <v>29.924768</v>
      </c>
      <c r="E25" s="4">
        <v>30.267416000000001</v>
      </c>
      <c r="F25" s="4">
        <v>29.937338</v>
      </c>
      <c r="G25" s="4">
        <v>29.783096</v>
      </c>
      <c r="H25">
        <v>29.710108000000002</v>
      </c>
      <c r="I25">
        <v>29.564121</v>
      </c>
      <c r="J25">
        <v>29.325631999999999</v>
      </c>
      <c r="K25" s="4"/>
      <c r="L25" s="4"/>
      <c r="M25" s="4"/>
      <c r="N25" s="4">
        <f t="shared" si="2"/>
        <v>29.751383555555556</v>
      </c>
    </row>
    <row r="26" spans="1:14" ht="18.75" x14ac:dyDescent="0.3">
      <c r="A26" s="3" t="s">
        <v>10</v>
      </c>
      <c r="B26" s="4">
        <v>27.817295000000001</v>
      </c>
      <c r="C26" s="4">
        <v>27.844577999999998</v>
      </c>
      <c r="D26" s="4">
        <v>28.421713</v>
      </c>
      <c r="E26" s="4">
        <v>28.563268999999998</v>
      </c>
      <c r="F26" s="4">
        <v>28.348488</v>
      </c>
      <c r="G26" s="4">
        <v>28.016062000000002</v>
      </c>
      <c r="H26">
        <v>27.963160999999999</v>
      </c>
      <c r="I26">
        <v>27.766228000000002</v>
      </c>
      <c r="J26">
        <v>27.637080999999998</v>
      </c>
      <c r="K26" s="4"/>
      <c r="L26" s="4"/>
      <c r="M26" s="4"/>
      <c r="N26" s="4">
        <f t="shared" si="2"/>
        <v>28.041986111111111</v>
      </c>
    </row>
    <row r="27" spans="1:14" ht="18.75" x14ac:dyDescent="0.3">
      <c r="A27" s="3" t="s">
        <v>11</v>
      </c>
      <c r="B27" s="4">
        <v>29.154226000000001</v>
      </c>
      <c r="C27" s="4">
        <v>29.151008999999998</v>
      </c>
      <c r="D27" s="4">
        <v>29.590342</v>
      </c>
      <c r="E27" s="4">
        <v>29.652225000000001</v>
      </c>
      <c r="F27" s="4">
        <v>28.809840000000001</v>
      </c>
      <c r="G27" s="4">
        <v>29.29542</v>
      </c>
      <c r="H27">
        <v>29.323592999999999</v>
      </c>
      <c r="I27">
        <v>29.104510999999999</v>
      </c>
      <c r="J27">
        <v>28.646774000000001</v>
      </c>
      <c r="K27" s="4"/>
      <c r="L27" s="4"/>
      <c r="M27" s="4"/>
      <c r="N27" s="4">
        <f t="shared" si="2"/>
        <v>29.191993333333333</v>
      </c>
    </row>
    <row r="28" spans="1:14" ht="18.75" x14ac:dyDescent="0.3">
      <c r="A28" s="3" t="s">
        <v>12</v>
      </c>
      <c r="B28" s="4">
        <v>31.11561</v>
      </c>
      <c r="C28" s="4">
        <v>31.830568</v>
      </c>
      <c r="D28" s="4">
        <v>32.761707000000001</v>
      </c>
      <c r="E28" s="4">
        <v>32.471138000000003</v>
      </c>
      <c r="F28" s="4">
        <v>30.608847000000001</v>
      </c>
      <c r="G28" s="4">
        <v>30.021303</v>
      </c>
      <c r="H28">
        <v>30.098262999999999</v>
      </c>
      <c r="I28">
        <v>29.869002999999999</v>
      </c>
      <c r="J28">
        <v>29.355111999999998</v>
      </c>
      <c r="K28" s="4"/>
      <c r="L28" s="4"/>
      <c r="M28" s="4"/>
      <c r="N28" s="4">
        <f t="shared" si="2"/>
        <v>30.903505666666668</v>
      </c>
    </row>
    <row r="29" spans="1:14" ht="18.75" x14ac:dyDescent="0.3">
      <c r="A29" s="3" t="s">
        <v>13</v>
      </c>
      <c r="B29" s="4">
        <v>31.032285999999999</v>
      </c>
      <c r="C29" s="4">
        <v>31.284559999999999</v>
      </c>
      <c r="D29" s="4">
        <v>31.787502</v>
      </c>
      <c r="E29" s="4">
        <v>31.642621999999999</v>
      </c>
      <c r="F29" s="4">
        <v>30.559270000000001</v>
      </c>
      <c r="G29" s="4">
        <v>30.161974000000001</v>
      </c>
      <c r="H29">
        <v>30.159127999999999</v>
      </c>
      <c r="I29">
        <v>29.894224000000001</v>
      </c>
      <c r="J29">
        <v>29.463401999999999</v>
      </c>
      <c r="K29" s="4"/>
      <c r="L29" s="4"/>
      <c r="M29" s="4"/>
      <c r="N29" s="4">
        <f t="shared" si="2"/>
        <v>30.664996444444441</v>
      </c>
    </row>
    <row r="30" spans="1:14" ht="18.75" x14ac:dyDescent="0.3">
      <c r="A30" s="3" t="s">
        <v>14</v>
      </c>
      <c r="B30" s="4">
        <v>28.876277999999999</v>
      </c>
      <c r="C30" s="4">
        <v>28.766622999999999</v>
      </c>
      <c r="D30" s="4">
        <v>29.207678000000001</v>
      </c>
      <c r="E30" s="4">
        <v>29.421634999999998</v>
      </c>
      <c r="F30" s="4">
        <v>28.750091999999999</v>
      </c>
      <c r="G30" s="4">
        <v>28.962519</v>
      </c>
      <c r="H30">
        <v>28.951575999999999</v>
      </c>
      <c r="I30">
        <v>28.730093</v>
      </c>
      <c r="J30">
        <v>28.424875</v>
      </c>
      <c r="K30" s="4"/>
      <c r="L30" s="4"/>
      <c r="M30" s="4"/>
      <c r="N30" s="4">
        <f t="shared" si="2"/>
        <v>28.899040999999997</v>
      </c>
    </row>
    <row r="31" spans="1:14" ht="18.75" x14ac:dyDescent="0.3">
      <c r="A31" s="3" t="s">
        <v>15</v>
      </c>
      <c r="B31" s="4">
        <v>29.673926999999999</v>
      </c>
      <c r="C31" s="4">
        <v>29.785039999999999</v>
      </c>
      <c r="D31" s="4">
        <v>30.305993999999998</v>
      </c>
      <c r="E31" s="4">
        <v>30.573661999999999</v>
      </c>
      <c r="F31" s="4">
        <v>29.689043000000002</v>
      </c>
      <c r="G31" s="4">
        <v>29.477</v>
      </c>
      <c r="H31">
        <v>29.449929999999998</v>
      </c>
      <c r="I31">
        <v>29.265139999999999</v>
      </c>
      <c r="J31">
        <v>28.91846</v>
      </c>
      <c r="K31" s="4"/>
      <c r="L31" s="4"/>
      <c r="M31" s="4"/>
      <c r="N31" s="4">
        <f t="shared" si="2"/>
        <v>29.682021777777777</v>
      </c>
    </row>
    <row r="32" spans="1:14" ht="18.75" x14ac:dyDescent="0.3">
      <c r="A32" s="3" t="s">
        <v>16</v>
      </c>
      <c r="B32" s="4">
        <v>30.57526</v>
      </c>
      <c r="C32" s="4">
        <v>31.132885000000002</v>
      </c>
      <c r="D32" s="4">
        <v>31.911971999999999</v>
      </c>
      <c r="E32" s="4">
        <v>31.691763000000002</v>
      </c>
      <c r="F32" s="4">
        <v>30.280481000000002</v>
      </c>
      <c r="G32" s="4">
        <v>29.772113999999998</v>
      </c>
      <c r="H32">
        <v>29.811969999999999</v>
      </c>
      <c r="I32">
        <v>29.599981</v>
      </c>
      <c r="J32">
        <v>29.183482999999999</v>
      </c>
      <c r="K32" s="4"/>
      <c r="L32" s="4"/>
      <c r="M32" s="4"/>
      <c r="N32" s="4">
        <f t="shared" si="2"/>
        <v>30.439989888888892</v>
      </c>
    </row>
    <row r="33" spans="1:14" ht="18.75" x14ac:dyDescent="0.3">
      <c r="A33" s="6" t="s">
        <v>26</v>
      </c>
      <c r="B33" s="7">
        <f t="shared" ref="B33:J33" si="3">AVERAGE(B20:B32)</f>
        <v>29.428412307692309</v>
      </c>
      <c r="C33" s="7">
        <f t="shared" si="3"/>
        <v>29.556907230769223</v>
      </c>
      <c r="D33" s="7">
        <f t="shared" si="3"/>
        <v>30.10738615384615</v>
      </c>
      <c r="E33" s="7">
        <f t="shared" si="3"/>
        <v>30.166165538461538</v>
      </c>
      <c r="F33" s="7">
        <f t="shared" si="3"/>
        <v>29.425902307692315</v>
      </c>
      <c r="G33" s="7">
        <f t="shared" si="3"/>
        <v>29.307438538461536</v>
      </c>
      <c r="H33" s="7">
        <f t="shared" si="3"/>
        <v>29.282965615384612</v>
      </c>
      <c r="I33" s="7">
        <f t="shared" si="3"/>
        <v>29.07963830769231</v>
      </c>
      <c r="J33" s="7">
        <f t="shared" si="3"/>
        <v>28.777529692307688</v>
      </c>
      <c r="K33" s="7"/>
      <c r="L33" s="7"/>
      <c r="M33" s="7"/>
      <c r="N33" s="7">
        <f>AVERAGE(B33:M33)</f>
        <v>29.459149521367522</v>
      </c>
    </row>
    <row r="35" spans="1:14" ht="23.25" x14ac:dyDescent="0.25">
      <c r="A35" s="8" t="s">
        <v>36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ht="18.75" x14ac:dyDescent="0.25">
      <c r="A36" s="2" t="s">
        <v>25</v>
      </c>
      <c r="B36" s="2" t="s">
        <v>0</v>
      </c>
      <c r="C36" s="2" t="s">
        <v>1</v>
      </c>
      <c r="D36" s="2" t="s">
        <v>2</v>
      </c>
      <c r="E36" s="2" t="s">
        <v>3</v>
      </c>
      <c r="F36" s="2" t="s">
        <v>17</v>
      </c>
      <c r="G36" s="2" t="s">
        <v>18</v>
      </c>
      <c r="H36" s="2" t="s">
        <v>19</v>
      </c>
      <c r="I36" s="2" t="s">
        <v>20</v>
      </c>
      <c r="J36" s="2" t="s">
        <v>21</v>
      </c>
      <c r="K36" s="2" t="s">
        <v>22</v>
      </c>
      <c r="L36" s="2" t="s">
        <v>23</v>
      </c>
      <c r="M36" s="2" t="s">
        <v>24</v>
      </c>
      <c r="N36" s="2" t="s">
        <v>26</v>
      </c>
    </row>
    <row r="37" spans="1:14" ht="18.75" x14ac:dyDescent="0.3">
      <c r="A37" s="3" t="s">
        <v>4</v>
      </c>
      <c r="B37" s="4">
        <v>20.908926000000001</v>
      </c>
      <c r="C37" s="4">
        <v>20.485392000000001</v>
      </c>
      <c r="D37" s="4">
        <v>20.883603999999998</v>
      </c>
      <c r="E37" s="4">
        <v>21.196511999999998</v>
      </c>
      <c r="F37" s="4">
        <v>22.433755999999999</v>
      </c>
      <c r="G37" s="4">
        <v>22.29241</v>
      </c>
      <c r="H37">
        <v>22.097937000000002</v>
      </c>
      <c r="I37">
        <v>21.852615</v>
      </c>
      <c r="J37">
        <v>21.772456999999999</v>
      </c>
      <c r="K37" s="4"/>
      <c r="L37" s="4"/>
      <c r="M37" s="4"/>
      <c r="N37" s="4">
        <f>AVERAGE(B37:M37)</f>
        <v>21.547067666666671</v>
      </c>
    </row>
    <row r="38" spans="1:14" ht="18.75" x14ac:dyDescent="0.3">
      <c r="A38" s="3" t="s">
        <v>5</v>
      </c>
      <c r="B38" s="4">
        <v>24.172091999999999</v>
      </c>
      <c r="C38" s="4">
        <v>24.089592</v>
      </c>
      <c r="D38" s="4">
        <v>24.507052999999999</v>
      </c>
      <c r="E38" s="4">
        <v>24.725624</v>
      </c>
      <c r="F38" s="4">
        <v>24.169149999999998</v>
      </c>
      <c r="G38" s="4">
        <v>23.90512</v>
      </c>
      <c r="H38">
        <v>24.152815</v>
      </c>
      <c r="I38">
        <v>23.801447</v>
      </c>
      <c r="J38">
        <v>23.104734000000001</v>
      </c>
      <c r="K38" s="4"/>
      <c r="L38" s="4"/>
      <c r="M38" s="4"/>
      <c r="N38" s="4">
        <f t="shared" ref="N38:N49" si="4">AVERAGE(B38:M38)</f>
        <v>24.069736333333335</v>
      </c>
    </row>
    <row r="39" spans="1:14" ht="18.75" x14ac:dyDescent="0.3">
      <c r="A39" s="3" t="s">
        <v>6</v>
      </c>
      <c r="B39" s="4">
        <v>22.459425</v>
      </c>
      <c r="C39" s="4">
        <v>22.357627999999998</v>
      </c>
      <c r="D39" s="4">
        <v>22.754503</v>
      </c>
      <c r="E39" s="4">
        <v>23.179008</v>
      </c>
      <c r="F39" s="4">
        <v>22.766010000000001</v>
      </c>
      <c r="G39" s="4">
        <v>23.207027</v>
      </c>
      <c r="H39">
        <v>23.040554</v>
      </c>
      <c r="I39">
        <v>22.774801</v>
      </c>
      <c r="J39">
        <v>22.476735999999999</v>
      </c>
      <c r="K39" s="4"/>
      <c r="L39" s="4"/>
      <c r="M39" s="4"/>
      <c r="N39" s="4">
        <f t="shared" si="4"/>
        <v>22.779521333333335</v>
      </c>
    </row>
    <row r="40" spans="1:14" ht="18.75" x14ac:dyDescent="0.3">
      <c r="A40" s="3" t="s">
        <v>7</v>
      </c>
      <c r="B40" s="4">
        <v>25.318680000000001</v>
      </c>
      <c r="C40" s="4">
        <v>25.205807</v>
      </c>
      <c r="D40" s="4">
        <v>25.489554999999999</v>
      </c>
      <c r="E40" s="4">
        <v>25.436384</v>
      </c>
      <c r="F40" s="4">
        <v>24.796320000000001</v>
      </c>
      <c r="G40" s="4">
        <v>24.892976999999998</v>
      </c>
      <c r="H40">
        <v>24.788188999999999</v>
      </c>
      <c r="I40">
        <v>24.551601000000002</v>
      </c>
      <c r="J40">
        <v>24.320112000000002</v>
      </c>
      <c r="K40" s="4"/>
      <c r="L40" s="4"/>
      <c r="M40" s="4"/>
      <c r="N40" s="4">
        <f t="shared" si="4"/>
        <v>24.97773611111111</v>
      </c>
    </row>
    <row r="41" spans="1:14" ht="18.75" x14ac:dyDescent="0.3">
      <c r="A41" s="3" t="s">
        <v>8</v>
      </c>
      <c r="B41" s="4">
        <v>22.453354000000001</v>
      </c>
      <c r="C41" s="4">
        <v>22.606328999999999</v>
      </c>
      <c r="D41" s="4">
        <v>23.117184000000002</v>
      </c>
      <c r="E41" s="4">
        <v>23.582943</v>
      </c>
      <c r="F41" s="4">
        <v>24.088709000000001</v>
      </c>
      <c r="G41" s="4">
        <v>23.899768999999999</v>
      </c>
      <c r="H41">
        <v>23.756556</v>
      </c>
      <c r="I41">
        <v>23.548182000000001</v>
      </c>
      <c r="J41">
        <v>23.377427999999998</v>
      </c>
      <c r="K41" s="4"/>
      <c r="L41" s="4"/>
      <c r="M41" s="4"/>
      <c r="N41" s="4">
        <f t="shared" si="4"/>
        <v>23.381161555555554</v>
      </c>
    </row>
    <row r="42" spans="1:14" ht="18.75" x14ac:dyDescent="0.3">
      <c r="A42" s="3" t="s">
        <v>9</v>
      </c>
      <c r="B42" s="4">
        <v>25.731586</v>
      </c>
      <c r="C42" s="4">
        <v>25.567758999999999</v>
      </c>
      <c r="D42" s="4">
        <v>25.802337999999999</v>
      </c>
      <c r="E42" s="4">
        <v>26.068470000000001</v>
      </c>
      <c r="F42" s="4">
        <v>25.693239999999999</v>
      </c>
      <c r="G42" s="4">
        <v>25.444393000000002</v>
      </c>
      <c r="H42">
        <v>25.551888000000002</v>
      </c>
      <c r="I42">
        <v>25.302358999999999</v>
      </c>
      <c r="J42">
        <v>24.817129999999999</v>
      </c>
      <c r="K42" s="4"/>
      <c r="L42" s="4"/>
      <c r="M42" s="4"/>
      <c r="N42" s="4">
        <f t="shared" si="4"/>
        <v>25.553240333333331</v>
      </c>
    </row>
    <row r="43" spans="1:14" ht="18.75" x14ac:dyDescent="0.3">
      <c r="A43" s="3" t="s">
        <v>10</v>
      </c>
      <c r="B43" s="4">
        <v>22.085823000000001</v>
      </c>
      <c r="C43" s="4">
        <v>21.799272999999999</v>
      </c>
      <c r="D43" s="4">
        <v>22.141983</v>
      </c>
      <c r="E43" s="4">
        <v>22.395251999999999</v>
      </c>
      <c r="F43" s="4">
        <v>22.933009999999999</v>
      </c>
      <c r="G43" s="4">
        <v>22.713795000000001</v>
      </c>
      <c r="H43">
        <v>22.712551000000001</v>
      </c>
      <c r="I43">
        <v>22.434792999999999</v>
      </c>
      <c r="J43">
        <v>22.099706999999999</v>
      </c>
      <c r="K43" s="4"/>
      <c r="L43" s="4"/>
      <c r="M43" s="4"/>
      <c r="N43" s="4">
        <f t="shared" si="4"/>
        <v>22.36846522222222</v>
      </c>
    </row>
    <row r="44" spans="1:14" ht="18.75" x14ac:dyDescent="0.3">
      <c r="A44" s="3" t="s">
        <v>11</v>
      </c>
      <c r="B44" s="4">
        <v>22.373999000000001</v>
      </c>
      <c r="C44" s="4">
        <v>22.148734999999999</v>
      </c>
      <c r="D44" s="4">
        <v>22.541844999999999</v>
      </c>
      <c r="E44" s="4">
        <v>23.212340999999999</v>
      </c>
      <c r="F44" s="4">
        <v>22.982085999999999</v>
      </c>
      <c r="G44" s="4">
        <v>23.420127999999998</v>
      </c>
      <c r="H44">
        <v>23.299085999999999</v>
      </c>
      <c r="I44">
        <v>23.059137</v>
      </c>
      <c r="J44">
        <v>22.750055</v>
      </c>
      <c r="K44" s="4"/>
      <c r="L44" s="4"/>
      <c r="M44" s="4"/>
      <c r="N44" s="4">
        <f t="shared" si="4"/>
        <v>22.865267999999997</v>
      </c>
    </row>
    <row r="45" spans="1:14" ht="18.75" x14ac:dyDescent="0.3">
      <c r="A45" s="3" t="s">
        <v>12</v>
      </c>
      <c r="B45" s="4">
        <v>22.254135000000002</v>
      </c>
      <c r="C45" s="4">
        <v>22.183609000000001</v>
      </c>
      <c r="D45" s="4">
        <v>22.845925999999999</v>
      </c>
      <c r="E45" s="4">
        <v>23.388324999999998</v>
      </c>
      <c r="F45" s="4">
        <v>23.559404000000001</v>
      </c>
      <c r="G45" s="4">
        <v>23.495021999999999</v>
      </c>
      <c r="H45">
        <v>23.439136999999999</v>
      </c>
      <c r="I45">
        <v>23.225014000000002</v>
      </c>
      <c r="J45">
        <v>22.816607999999999</v>
      </c>
      <c r="K45" s="4"/>
      <c r="L45" s="4"/>
      <c r="M45" s="4"/>
      <c r="N45" s="4">
        <f t="shared" si="4"/>
        <v>23.023019999999995</v>
      </c>
    </row>
    <row r="46" spans="1:14" ht="18.75" x14ac:dyDescent="0.3">
      <c r="A46" s="3" t="s">
        <v>13</v>
      </c>
      <c r="B46" s="4">
        <v>23.574863000000001</v>
      </c>
      <c r="C46" s="4">
        <v>23.143782000000002</v>
      </c>
      <c r="D46" s="4">
        <v>23.452078</v>
      </c>
      <c r="E46" s="4">
        <v>24.164614</v>
      </c>
      <c r="F46" s="4">
        <v>24.639648000000001</v>
      </c>
      <c r="G46" s="4">
        <v>24.574079999999999</v>
      </c>
      <c r="H46">
        <v>24.473759999999999</v>
      </c>
      <c r="I46">
        <v>24.203399999999998</v>
      </c>
      <c r="J46">
        <v>23.849765999999999</v>
      </c>
      <c r="K46" s="4"/>
      <c r="L46" s="4"/>
      <c r="M46" s="4"/>
      <c r="N46" s="4">
        <f t="shared" si="4"/>
        <v>24.008443444444442</v>
      </c>
    </row>
    <row r="47" spans="1:14" ht="18.75" x14ac:dyDescent="0.3">
      <c r="A47" s="3" t="s">
        <v>14</v>
      </c>
      <c r="B47" s="4">
        <v>23.787434000000001</v>
      </c>
      <c r="C47" s="4">
        <v>23.547224</v>
      </c>
      <c r="D47" s="4">
        <v>23.877880000000001</v>
      </c>
      <c r="E47" s="4">
        <v>24.184332000000001</v>
      </c>
      <c r="F47" s="4">
        <v>23.915728000000001</v>
      </c>
      <c r="G47" s="4">
        <v>24.080121999999999</v>
      </c>
      <c r="H47">
        <v>23.987577000000002</v>
      </c>
      <c r="I47">
        <v>23.797111999999998</v>
      </c>
      <c r="J47">
        <v>23.590605</v>
      </c>
      <c r="K47" s="4"/>
      <c r="L47" s="4"/>
      <c r="M47" s="4"/>
      <c r="N47" s="4">
        <f t="shared" si="4"/>
        <v>23.863112666666666</v>
      </c>
    </row>
    <row r="48" spans="1:14" ht="18.75" x14ac:dyDescent="0.3">
      <c r="A48" s="3" t="s">
        <v>15</v>
      </c>
      <c r="B48" s="4">
        <v>24.015384999999998</v>
      </c>
      <c r="C48" s="4">
        <v>23.736329999999999</v>
      </c>
      <c r="D48" s="4">
        <v>24.020150999999998</v>
      </c>
      <c r="E48" s="4">
        <v>24.608256999999998</v>
      </c>
      <c r="F48" s="4">
        <v>24.317778000000001</v>
      </c>
      <c r="G48" s="4">
        <v>24.209997000000001</v>
      </c>
      <c r="H48">
        <v>24.297502999999999</v>
      </c>
      <c r="I48">
        <v>24.004566000000001</v>
      </c>
      <c r="J48">
        <v>23.453786999999998</v>
      </c>
      <c r="K48" s="4"/>
      <c r="L48" s="4"/>
      <c r="M48" s="4"/>
      <c r="N48" s="4">
        <f t="shared" si="4"/>
        <v>24.073750444444446</v>
      </c>
    </row>
    <row r="49" spans="1:14" ht="18.75" x14ac:dyDescent="0.3">
      <c r="A49" s="3" t="s">
        <v>16</v>
      </c>
      <c r="B49" s="4">
        <v>23.865597000000001</v>
      </c>
      <c r="C49" s="4">
        <v>23.911235999999999</v>
      </c>
      <c r="D49" s="4">
        <v>24.508019999999998</v>
      </c>
      <c r="E49" s="4">
        <v>24.822447</v>
      </c>
      <c r="F49" s="4">
        <v>24.852834999999999</v>
      </c>
      <c r="G49" s="4">
        <v>24.669542</v>
      </c>
      <c r="H49">
        <v>24.64282</v>
      </c>
      <c r="I49">
        <v>24.431135000000001</v>
      </c>
      <c r="J49">
        <v>24.031130000000001</v>
      </c>
      <c r="K49" s="4"/>
      <c r="L49" s="4"/>
      <c r="M49" s="4"/>
      <c r="N49" s="4">
        <f t="shared" si="4"/>
        <v>24.414973555555555</v>
      </c>
    </row>
    <row r="50" spans="1:14" ht="18.75" x14ac:dyDescent="0.3">
      <c r="A50" s="6" t="s">
        <v>26</v>
      </c>
      <c r="B50" s="7">
        <f t="shared" ref="B50:J50" si="5">AVERAGE(B37:B49)</f>
        <v>23.307792230769227</v>
      </c>
      <c r="C50" s="7">
        <f t="shared" si="5"/>
        <v>23.137130461538455</v>
      </c>
      <c r="D50" s="7">
        <f t="shared" si="5"/>
        <v>23.534009230769229</v>
      </c>
      <c r="E50" s="7">
        <f t="shared" si="5"/>
        <v>23.920346846153848</v>
      </c>
      <c r="F50" s="7">
        <f t="shared" si="5"/>
        <v>23.934436461538457</v>
      </c>
      <c r="G50" s="7">
        <f t="shared" si="5"/>
        <v>23.908029384615382</v>
      </c>
      <c r="H50" s="7">
        <f t="shared" si="5"/>
        <v>23.864644076923074</v>
      </c>
      <c r="I50" s="7">
        <f t="shared" si="5"/>
        <v>23.614320153846158</v>
      </c>
      <c r="J50" s="7">
        <f t="shared" si="5"/>
        <v>23.266173461538465</v>
      </c>
      <c r="K50" s="7"/>
      <c r="L50" s="7"/>
      <c r="M50" s="7"/>
      <c r="N50" s="7">
        <f>AVERAGE(B50:M50)</f>
        <v>23.609653589743587</v>
      </c>
    </row>
  </sheetData>
  <mergeCells count="3">
    <mergeCell ref="A1:N1"/>
    <mergeCell ref="A18:N18"/>
    <mergeCell ref="A35:N35"/>
  </mergeCells>
  <pageMargins left="0.7" right="0.7" top="0.75" bottom="0.75" header="0.3" footer="0.3"/>
  <pageSetup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0AD28-2719-49E3-BF40-EE869E54613A}">
  <dimension ref="A1:T218"/>
  <sheetViews>
    <sheetView topLeftCell="A36" workbookViewId="0">
      <selection activeCell="O5" sqref="O5"/>
    </sheetView>
  </sheetViews>
  <sheetFormatPr baseColWidth="10" defaultColWidth="9.140625" defaultRowHeight="18.75" x14ac:dyDescent="0.3"/>
  <cols>
    <col min="1" max="1" width="14.42578125" style="3" bestFit="1" customWidth="1"/>
    <col min="2" max="2" width="6.7109375" style="3" bestFit="1" customWidth="1"/>
    <col min="3" max="3" width="4.85546875" style="3" bestFit="1" customWidth="1"/>
    <col min="4" max="4" width="8.140625" style="3" bestFit="1" customWidth="1"/>
    <col min="5" max="5" width="6.7109375" style="3" bestFit="1" customWidth="1"/>
    <col min="6" max="6" width="11" style="3" bestFit="1" customWidth="1"/>
    <col min="7" max="7" width="14.42578125" style="3" bestFit="1" customWidth="1"/>
    <col min="8" max="8" width="13.140625" bestFit="1" customWidth="1"/>
    <col min="13" max="13" width="11" bestFit="1" customWidth="1"/>
    <col min="15" max="15" width="13.140625" bestFit="1" customWidth="1"/>
    <col min="20" max="20" width="11" bestFit="1" customWidth="1"/>
  </cols>
  <sheetData>
    <row r="1" spans="1:20" ht="23.25" x14ac:dyDescent="0.35">
      <c r="A1" s="9" t="s">
        <v>34</v>
      </c>
      <c r="B1" s="9"/>
      <c r="C1" s="9"/>
      <c r="D1" s="9"/>
      <c r="E1" s="9"/>
      <c r="F1" s="9"/>
      <c r="G1"/>
      <c r="H1" s="9" t="s">
        <v>35</v>
      </c>
      <c r="I1" s="9"/>
      <c r="J1" s="9"/>
      <c r="K1" s="9"/>
      <c r="L1" s="9"/>
      <c r="M1" s="9"/>
      <c r="O1" s="9" t="s">
        <v>36</v>
      </c>
      <c r="P1" s="9"/>
      <c r="Q1" s="9"/>
      <c r="R1" s="9"/>
      <c r="S1" s="9"/>
      <c r="T1" s="9"/>
    </row>
    <row r="2" spans="1:20" x14ac:dyDescent="0.3">
      <c r="A2" s="6" t="s">
        <v>33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/>
      <c r="H2" s="6" t="s">
        <v>33</v>
      </c>
      <c r="I2" s="6" t="s">
        <v>27</v>
      </c>
      <c r="J2" s="6" t="s">
        <v>28</v>
      </c>
      <c r="K2" s="6" t="s">
        <v>29</v>
      </c>
      <c r="L2" s="6" t="s">
        <v>30</v>
      </c>
      <c r="M2" s="6" t="s">
        <v>31</v>
      </c>
      <c r="O2" s="6" t="s">
        <v>33</v>
      </c>
      <c r="P2" s="6" t="s">
        <v>27</v>
      </c>
      <c r="Q2" s="6" t="s">
        <v>28</v>
      </c>
      <c r="R2" s="6" t="s">
        <v>29</v>
      </c>
      <c r="S2" s="6" t="s">
        <v>30</v>
      </c>
      <c r="T2" s="6" t="s">
        <v>31</v>
      </c>
    </row>
    <row r="3" spans="1:20" x14ac:dyDescent="0.3">
      <c r="A3" s="3">
        <v>27.235733</v>
      </c>
      <c r="B3" s="3">
        <v>1</v>
      </c>
      <c r="C3" s="3">
        <v>1</v>
      </c>
      <c r="D3" s="3">
        <v>1</v>
      </c>
      <c r="E3" s="3">
        <v>2024</v>
      </c>
      <c r="F3" s="5">
        <v>45658</v>
      </c>
      <c r="G3"/>
      <c r="H3" s="3">
        <v>30.266544</v>
      </c>
      <c r="I3" s="3">
        <v>1</v>
      </c>
      <c r="J3" s="3">
        <v>1</v>
      </c>
      <c r="K3" s="3">
        <v>1</v>
      </c>
      <c r="L3" s="3">
        <v>2024</v>
      </c>
      <c r="M3" s="5">
        <v>45658</v>
      </c>
      <c r="O3" s="3">
        <v>24.204913999999999</v>
      </c>
      <c r="P3" s="3">
        <v>1</v>
      </c>
      <c r="Q3" s="3">
        <v>1</v>
      </c>
      <c r="R3" s="3">
        <v>1</v>
      </c>
      <c r="S3" s="3">
        <v>2024</v>
      </c>
      <c r="T3" s="5">
        <v>45658</v>
      </c>
    </row>
    <row r="4" spans="1:20" x14ac:dyDescent="0.3">
      <c r="A4" s="3">
        <v>27.512844000000001</v>
      </c>
      <c r="B4" s="3">
        <v>2</v>
      </c>
      <c r="C4" s="3">
        <v>6</v>
      </c>
      <c r="D4" s="3">
        <v>1</v>
      </c>
      <c r="E4" s="3">
        <v>2024</v>
      </c>
      <c r="F4" s="5">
        <v>45663</v>
      </c>
      <c r="G4"/>
      <c r="H4" s="3">
        <v>30.700541999999999</v>
      </c>
      <c r="I4" s="3">
        <v>2</v>
      </c>
      <c r="J4" s="3">
        <v>6</v>
      </c>
      <c r="K4" s="3">
        <v>1</v>
      </c>
      <c r="L4" s="3">
        <v>2024</v>
      </c>
      <c r="M4" s="5">
        <v>45663</v>
      </c>
      <c r="O4" s="3">
        <v>24.325142</v>
      </c>
      <c r="P4" s="3">
        <v>2</v>
      </c>
      <c r="Q4" s="3">
        <v>6</v>
      </c>
      <c r="R4" s="3">
        <v>1</v>
      </c>
      <c r="S4" s="3">
        <v>2024</v>
      </c>
      <c r="T4" s="5">
        <v>45663</v>
      </c>
    </row>
    <row r="5" spans="1:20" x14ac:dyDescent="0.3">
      <c r="A5" s="3">
        <v>27.639420999999999</v>
      </c>
      <c r="B5" s="3">
        <v>3</v>
      </c>
      <c r="C5" s="3">
        <v>11</v>
      </c>
      <c r="D5" s="3">
        <v>1</v>
      </c>
      <c r="E5" s="3">
        <v>2024</v>
      </c>
      <c r="F5" s="5">
        <v>45668</v>
      </c>
      <c r="G5"/>
      <c r="H5" s="3">
        <v>30.986422000000001</v>
      </c>
      <c r="I5" s="3">
        <v>3</v>
      </c>
      <c r="J5" s="3">
        <v>11</v>
      </c>
      <c r="K5" s="3">
        <v>1</v>
      </c>
      <c r="L5" s="3">
        <v>2024</v>
      </c>
      <c r="M5" s="5">
        <v>45668</v>
      </c>
      <c r="O5" s="3">
        <v>24.292425000000001</v>
      </c>
      <c r="P5" s="3">
        <v>3</v>
      </c>
      <c r="Q5" s="3">
        <v>11</v>
      </c>
      <c r="R5" s="3">
        <v>1</v>
      </c>
      <c r="S5" s="3">
        <v>2024</v>
      </c>
      <c r="T5" s="5">
        <v>45668</v>
      </c>
    </row>
    <row r="6" spans="1:20" x14ac:dyDescent="0.3">
      <c r="A6" s="3">
        <v>28.107157000000001</v>
      </c>
      <c r="B6" s="3">
        <v>4</v>
      </c>
      <c r="C6" s="3">
        <v>16</v>
      </c>
      <c r="D6" s="3">
        <v>1</v>
      </c>
      <c r="E6" s="3">
        <v>2024</v>
      </c>
      <c r="F6" s="5">
        <v>45673</v>
      </c>
      <c r="G6"/>
      <c r="H6" s="3">
        <v>31.318047</v>
      </c>
      <c r="I6" s="3">
        <v>4</v>
      </c>
      <c r="J6" s="3">
        <v>16</v>
      </c>
      <c r="K6" s="3">
        <v>1</v>
      </c>
      <c r="L6" s="3">
        <v>2024</v>
      </c>
      <c r="M6" s="5">
        <v>45673</v>
      </c>
      <c r="O6" s="3">
        <v>24.896263000000001</v>
      </c>
      <c r="P6" s="3">
        <v>4</v>
      </c>
      <c r="Q6" s="3">
        <v>16</v>
      </c>
      <c r="R6" s="3">
        <v>1</v>
      </c>
      <c r="S6" s="3">
        <v>2024</v>
      </c>
      <c r="T6" s="5">
        <v>45673</v>
      </c>
    </row>
    <row r="7" spans="1:20" x14ac:dyDescent="0.3">
      <c r="A7" s="3">
        <v>28.178616000000002</v>
      </c>
      <c r="B7" s="3">
        <v>5</v>
      </c>
      <c r="C7" s="3">
        <v>21</v>
      </c>
      <c r="D7" s="3">
        <v>1</v>
      </c>
      <c r="E7" s="3">
        <v>2024</v>
      </c>
      <c r="F7" s="5">
        <v>45678</v>
      </c>
      <c r="G7"/>
      <c r="H7" s="3">
        <v>31.272991000000001</v>
      </c>
      <c r="I7" s="3">
        <v>5</v>
      </c>
      <c r="J7" s="3">
        <v>21</v>
      </c>
      <c r="K7" s="3">
        <v>1</v>
      </c>
      <c r="L7" s="3">
        <v>2024</v>
      </c>
      <c r="M7" s="5">
        <v>45678</v>
      </c>
      <c r="O7" s="3">
        <v>25.084242</v>
      </c>
      <c r="P7" s="3">
        <v>5</v>
      </c>
      <c r="Q7" s="3">
        <v>21</v>
      </c>
      <c r="R7" s="3">
        <v>1</v>
      </c>
      <c r="S7" s="3">
        <v>2024</v>
      </c>
      <c r="T7" s="5">
        <v>45678</v>
      </c>
    </row>
    <row r="8" spans="1:20" x14ac:dyDescent="0.3">
      <c r="A8" s="3">
        <v>27.583210000000001</v>
      </c>
      <c r="B8" s="3">
        <v>6</v>
      </c>
      <c r="C8" s="3">
        <v>26</v>
      </c>
      <c r="D8" s="3">
        <v>1</v>
      </c>
      <c r="E8" s="3">
        <v>2024</v>
      </c>
      <c r="F8" s="5">
        <v>45683</v>
      </c>
      <c r="G8"/>
      <c r="H8" s="3">
        <v>30.720186000000002</v>
      </c>
      <c r="I8" s="3">
        <v>6</v>
      </c>
      <c r="J8" s="3">
        <v>26</v>
      </c>
      <c r="K8" s="3">
        <v>1</v>
      </c>
      <c r="L8" s="3">
        <v>2024</v>
      </c>
      <c r="M8" s="5">
        <v>45683</v>
      </c>
      <c r="O8" s="3">
        <v>24.44623</v>
      </c>
      <c r="P8" s="3">
        <v>6</v>
      </c>
      <c r="Q8" s="3">
        <v>26</v>
      </c>
      <c r="R8" s="3">
        <v>1</v>
      </c>
      <c r="S8" s="3">
        <v>2024</v>
      </c>
      <c r="T8" s="5">
        <v>45683</v>
      </c>
    </row>
    <row r="9" spans="1:20" x14ac:dyDescent="0.3">
      <c r="A9" s="3">
        <v>27.101655999999998</v>
      </c>
      <c r="B9" s="3">
        <v>1</v>
      </c>
      <c r="C9" s="3">
        <v>1</v>
      </c>
      <c r="D9" s="3">
        <v>2</v>
      </c>
      <c r="E9" s="3">
        <v>2024</v>
      </c>
      <c r="F9" s="5">
        <v>45689</v>
      </c>
      <c r="G9"/>
      <c r="H9" s="3">
        <v>30.158148000000001</v>
      </c>
      <c r="I9" s="3">
        <v>1</v>
      </c>
      <c r="J9" s="3">
        <v>1</v>
      </c>
      <c r="K9" s="3">
        <v>2</v>
      </c>
      <c r="L9" s="3">
        <v>2024</v>
      </c>
      <c r="M9" s="5">
        <v>45689</v>
      </c>
      <c r="O9" s="3">
        <v>24.045159999999999</v>
      </c>
      <c r="P9" s="3">
        <v>1</v>
      </c>
      <c r="Q9" s="3">
        <v>1</v>
      </c>
      <c r="R9" s="3">
        <v>2</v>
      </c>
      <c r="S9" s="3">
        <v>2024</v>
      </c>
      <c r="T9" s="5">
        <v>45689</v>
      </c>
    </row>
    <row r="10" spans="1:20" x14ac:dyDescent="0.3">
      <c r="A10" s="3">
        <v>26.700861</v>
      </c>
      <c r="B10" s="3">
        <v>2</v>
      </c>
      <c r="C10" s="3">
        <v>6</v>
      </c>
      <c r="D10" s="3">
        <v>2</v>
      </c>
      <c r="E10" s="3">
        <v>2024</v>
      </c>
      <c r="F10" s="5">
        <v>45694</v>
      </c>
      <c r="G10"/>
      <c r="H10" s="3">
        <v>29.789919999999999</v>
      </c>
      <c r="I10" s="3">
        <v>2</v>
      </c>
      <c r="J10" s="3">
        <v>6</v>
      </c>
      <c r="K10" s="3">
        <v>2</v>
      </c>
      <c r="L10" s="3">
        <v>2024</v>
      </c>
      <c r="M10" s="5">
        <v>45694</v>
      </c>
      <c r="O10" s="3">
        <v>23.611795000000001</v>
      </c>
      <c r="P10" s="3">
        <v>2</v>
      </c>
      <c r="Q10" s="3">
        <v>6</v>
      </c>
      <c r="R10" s="3">
        <v>2</v>
      </c>
      <c r="S10" s="3">
        <v>2024</v>
      </c>
      <c r="T10" s="5">
        <v>45694</v>
      </c>
    </row>
    <row r="11" spans="1:20" x14ac:dyDescent="0.3">
      <c r="A11" s="3">
        <v>27.427499999999998</v>
      </c>
      <c r="B11" s="3">
        <v>3</v>
      </c>
      <c r="C11" s="3">
        <v>11</v>
      </c>
      <c r="D11" s="3">
        <v>2</v>
      </c>
      <c r="E11" s="3">
        <v>2024</v>
      </c>
      <c r="F11" s="5">
        <v>45699</v>
      </c>
      <c r="G11"/>
      <c r="H11" s="3">
        <v>30.464542000000002</v>
      </c>
      <c r="I11" s="3">
        <v>3</v>
      </c>
      <c r="J11" s="3">
        <v>11</v>
      </c>
      <c r="K11" s="3">
        <v>2</v>
      </c>
      <c r="L11" s="3">
        <v>2024</v>
      </c>
      <c r="M11" s="5">
        <v>45699</v>
      </c>
      <c r="O11" s="3">
        <v>24.390460000000001</v>
      </c>
      <c r="P11" s="3">
        <v>3</v>
      </c>
      <c r="Q11" s="3">
        <v>11</v>
      </c>
      <c r="R11" s="3">
        <v>2</v>
      </c>
      <c r="S11" s="3">
        <v>2024</v>
      </c>
      <c r="T11" s="5">
        <v>45699</v>
      </c>
    </row>
    <row r="12" spans="1:20" x14ac:dyDescent="0.3">
      <c r="A12" s="3">
        <v>27.946375</v>
      </c>
      <c r="B12" s="3">
        <v>4</v>
      </c>
      <c r="C12" s="3">
        <v>16</v>
      </c>
      <c r="D12" s="3">
        <v>2</v>
      </c>
      <c r="E12" s="3">
        <v>2024</v>
      </c>
      <c r="F12" s="5">
        <v>45704</v>
      </c>
      <c r="G12"/>
      <c r="H12" s="3">
        <v>30.865317999999998</v>
      </c>
      <c r="I12" s="3">
        <v>4</v>
      </c>
      <c r="J12" s="3">
        <v>16</v>
      </c>
      <c r="K12" s="3">
        <v>2</v>
      </c>
      <c r="L12" s="3">
        <v>2024</v>
      </c>
      <c r="M12" s="5">
        <v>45704</v>
      </c>
      <c r="O12" s="3">
        <v>25.027431</v>
      </c>
      <c r="P12" s="3">
        <v>4</v>
      </c>
      <c r="Q12" s="3">
        <v>16</v>
      </c>
      <c r="R12" s="3">
        <v>2</v>
      </c>
      <c r="S12" s="3">
        <v>2024</v>
      </c>
      <c r="T12" s="5">
        <v>45704</v>
      </c>
    </row>
    <row r="13" spans="1:20" x14ac:dyDescent="0.3">
      <c r="A13" s="3">
        <v>26.474625</v>
      </c>
      <c r="B13" s="3">
        <v>5</v>
      </c>
      <c r="C13" s="3">
        <v>21</v>
      </c>
      <c r="D13" s="3">
        <v>2</v>
      </c>
      <c r="E13" s="3">
        <v>2024</v>
      </c>
      <c r="F13" s="5">
        <v>45709</v>
      </c>
      <c r="G13"/>
      <c r="H13" s="3">
        <v>29.927589999999999</v>
      </c>
      <c r="I13" s="3">
        <v>5</v>
      </c>
      <c r="J13" s="3">
        <v>21</v>
      </c>
      <c r="K13" s="3">
        <v>2</v>
      </c>
      <c r="L13" s="3">
        <v>2024</v>
      </c>
      <c r="M13" s="5">
        <v>45709</v>
      </c>
      <c r="O13" s="3">
        <v>23.021661999999999</v>
      </c>
      <c r="P13" s="3">
        <v>5</v>
      </c>
      <c r="Q13" s="3">
        <v>21</v>
      </c>
      <c r="R13" s="3">
        <v>2</v>
      </c>
      <c r="S13" s="3">
        <v>2024</v>
      </c>
      <c r="T13" s="5">
        <v>45709</v>
      </c>
    </row>
    <row r="14" spans="1:20" x14ac:dyDescent="0.3">
      <c r="A14" s="3">
        <v>26.957062000000001</v>
      </c>
      <c r="B14" s="3">
        <v>6</v>
      </c>
      <c r="C14" s="3">
        <v>26</v>
      </c>
      <c r="D14" s="3">
        <v>2</v>
      </c>
      <c r="E14" s="3">
        <v>2024</v>
      </c>
      <c r="F14" s="5">
        <v>45714</v>
      </c>
      <c r="G14"/>
      <c r="H14" s="3">
        <v>30.473130999999999</v>
      </c>
      <c r="I14" s="3">
        <v>6</v>
      </c>
      <c r="J14" s="3">
        <v>26</v>
      </c>
      <c r="K14" s="3">
        <v>2</v>
      </c>
      <c r="L14" s="3">
        <v>2024</v>
      </c>
      <c r="M14" s="5">
        <v>45714</v>
      </c>
      <c r="O14" s="3">
        <v>23.440995999999998</v>
      </c>
      <c r="P14" s="3">
        <v>6</v>
      </c>
      <c r="Q14" s="3">
        <v>26</v>
      </c>
      <c r="R14" s="3">
        <v>2</v>
      </c>
      <c r="S14" s="3">
        <v>2024</v>
      </c>
      <c r="T14" s="5">
        <v>45714</v>
      </c>
    </row>
    <row r="15" spans="1:20" x14ac:dyDescent="0.3">
      <c r="A15" s="3">
        <v>26.899967</v>
      </c>
      <c r="B15" s="3">
        <v>1</v>
      </c>
      <c r="C15" s="3">
        <v>1</v>
      </c>
      <c r="D15" s="3">
        <v>3</v>
      </c>
      <c r="E15" s="3">
        <v>2024</v>
      </c>
      <c r="F15" s="5">
        <v>45717</v>
      </c>
      <c r="G15"/>
      <c r="H15" s="3">
        <v>30.617190000000001</v>
      </c>
      <c r="I15" s="3">
        <v>1</v>
      </c>
      <c r="J15" s="3">
        <v>1</v>
      </c>
      <c r="K15" s="3">
        <v>3</v>
      </c>
      <c r="L15" s="3">
        <v>2024</v>
      </c>
      <c r="M15" s="5">
        <v>45717</v>
      </c>
      <c r="O15" s="3">
        <v>23.182749000000001</v>
      </c>
      <c r="P15" s="3">
        <v>1</v>
      </c>
      <c r="Q15" s="3">
        <v>1</v>
      </c>
      <c r="R15" s="3">
        <v>3</v>
      </c>
      <c r="S15" s="3">
        <v>2024</v>
      </c>
      <c r="T15" s="5">
        <v>45717</v>
      </c>
    </row>
    <row r="16" spans="1:20" x14ac:dyDescent="0.3">
      <c r="A16" s="3">
        <v>27.546790000000001</v>
      </c>
      <c r="B16" s="3">
        <v>2</v>
      </c>
      <c r="C16" s="3">
        <v>6</v>
      </c>
      <c r="D16" s="3">
        <v>3</v>
      </c>
      <c r="E16" s="3">
        <v>2024</v>
      </c>
      <c r="F16" s="5">
        <v>45722</v>
      </c>
      <c r="G16"/>
      <c r="H16" s="3">
        <v>31.321144</v>
      </c>
      <c r="I16" s="3">
        <v>2</v>
      </c>
      <c r="J16" s="3">
        <v>6</v>
      </c>
      <c r="K16" s="3">
        <v>3</v>
      </c>
      <c r="L16" s="3">
        <v>2024</v>
      </c>
      <c r="M16" s="5">
        <v>45722</v>
      </c>
      <c r="O16" s="3">
        <v>23.772434000000001</v>
      </c>
      <c r="P16" s="3">
        <v>2</v>
      </c>
      <c r="Q16" s="3">
        <v>6</v>
      </c>
      <c r="R16" s="3">
        <v>3</v>
      </c>
      <c r="S16" s="3">
        <v>2024</v>
      </c>
      <c r="T16" s="5">
        <v>45722</v>
      </c>
    </row>
    <row r="17" spans="1:20" x14ac:dyDescent="0.3">
      <c r="A17" s="3">
        <v>28.011627000000001</v>
      </c>
      <c r="B17" s="3">
        <v>3</v>
      </c>
      <c r="C17" s="3">
        <v>11</v>
      </c>
      <c r="D17" s="3">
        <v>3</v>
      </c>
      <c r="E17" s="3">
        <v>2024</v>
      </c>
      <c r="F17" s="5">
        <v>45727</v>
      </c>
      <c r="G17"/>
      <c r="H17" s="3">
        <v>30.726599</v>
      </c>
      <c r="I17" s="3">
        <v>3</v>
      </c>
      <c r="J17" s="3">
        <v>11</v>
      </c>
      <c r="K17" s="3">
        <v>3</v>
      </c>
      <c r="L17" s="3">
        <v>2024</v>
      </c>
      <c r="M17" s="5">
        <v>45727</v>
      </c>
      <c r="O17" s="3">
        <v>25.29665</v>
      </c>
      <c r="P17" s="3">
        <v>3</v>
      </c>
      <c r="Q17" s="3">
        <v>11</v>
      </c>
      <c r="R17" s="3">
        <v>3</v>
      </c>
      <c r="S17" s="3">
        <v>2024</v>
      </c>
      <c r="T17" s="5">
        <v>45727</v>
      </c>
    </row>
    <row r="18" spans="1:20" x14ac:dyDescent="0.3">
      <c r="A18" s="3">
        <v>27.958355000000001</v>
      </c>
      <c r="B18" s="3">
        <v>4</v>
      </c>
      <c r="C18" s="3">
        <v>16</v>
      </c>
      <c r="D18" s="3">
        <v>3</v>
      </c>
      <c r="E18" s="3">
        <v>2024</v>
      </c>
      <c r="F18" s="5">
        <v>45732</v>
      </c>
      <c r="G18"/>
      <c r="H18" s="3">
        <v>30.893861999999999</v>
      </c>
      <c r="I18" s="3">
        <v>4</v>
      </c>
      <c r="J18" s="3">
        <v>16</v>
      </c>
      <c r="K18" s="3">
        <v>3</v>
      </c>
      <c r="L18" s="3">
        <v>2024</v>
      </c>
      <c r="M18" s="5">
        <v>45732</v>
      </c>
      <c r="O18" s="3">
        <v>25.022843999999999</v>
      </c>
      <c r="P18" s="3">
        <v>4</v>
      </c>
      <c r="Q18" s="3">
        <v>16</v>
      </c>
      <c r="R18" s="3">
        <v>3</v>
      </c>
      <c r="S18" s="3">
        <v>2024</v>
      </c>
      <c r="T18" s="5">
        <v>45732</v>
      </c>
    </row>
    <row r="19" spans="1:20" x14ac:dyDescent="0.3">
      <c r="A19" s="3">
        <v>27.727450999999999</v>
      </c>
      <c r="B19" s="3">
        <v>5</v>
      </c>
      <c r="C19" s="3">
        <v>21</v>
      </c>
      <c r="D19" s="3">
        <v>3</v>
      </c>
      <c r="E19" s="3">
        <v>2024</v>
      </c>
      <c r="F19" s="5">
        <v>45737</v>
      </c>
      <c r="G19"/>
      <c r="H19" s="3">
        <v>31.399243999999999</v>
      </c>
      <c r="I19" s="3">
        <v>5</v>
      </c>
      <c r="J19" s="3">
        <v>21</v>
      </c>
      <c r="K19" s="3">
        <v>3</v>
      </c>
      <c r="L19" s="3">
        <v>2024</v>
      </c>
      <c r="M19" s="5">
        <v>45737</v>
      </c>
      <c r="O19" s="3">
        <v>24.055658000000001</v>
      </c>
      <c r="P19" s="3">
        <v>5</v>
      </c>
      <c r="Q19" s="3">
        <v>21</v>
      </c>
      <c r="R19" s="3">
        <v>3</v>
      </c>
      <c r="S19" s="3">
        <v>2024</v>
      </c>
      <c r="T19" s="5">
        <v>45737</v>
      </c>
    </row>
    <row r="20" spans="1:20" x14ac:dyDescent="0.3">
      <c r="A20" s="3">
        <v>27.532647999999998</v>
      </c>
      <c r="B20" s="3">
        <v>6</v>
      </c>
      <c r="C20" s="3">
        <v>26</v>
      </c>
      <c r="D20" s="3">
        <v>3</v>
      </c>
      <c r="E20" s="3">
        <v>2024</v>
      </c>
      <c r="F20" s="5">
        <v>45742</v>
      </c>
      <c r="G20"/>
      <c r="H20" s="3">
        <v>31.101505</v>
      </c>
      <c r="I20" s="3">
        <v>6</v>
      </c>
      <c r="J20" s="3">
        <v>26</v>
      </c>
      <c r="K20" s="3">
        <v>3</v>
      </c>
      <c r="L20" s="3">
        <v>2024</v>
      </c>
      <c r="M20" s="5">
        <v>45742</v>
      </c>
      <c r="O20" s="3">
        <v>23.963789999999999</v>
      </c>
      <c r="P20" s="3">
        <v>6</v>
      </c>
      <c r="Q20" s="3">
        <v>26</v>
      </c>
      <c r="R20" s="3">
        <v>3</v>
      </c>
      <c r="S20" s="3">
        <v>2024</v>
      </c>
      <c r="T20" s="5">
        <v>45742</v>
      </c>
    </row>
    <row r="21" spans="1:20" x14ac:dyDescent="0.3">
      <c r="A21" s="3">
        <v>27.247658000000001</v>
      </c>
      <c r="B21" s="3">
        <v>1</v>
      </c>
      <c r="C21" s="3">
        <v>1</v>
      </c>
      <c r="D21" s="3">
        <v>4</v>
      </c>
      <c r="E21" s="3">
        <v>2024</v>
      </c>
      <c r="F21" s="5">
        <v>45748</v>
      </c>
      <c r="G21"/>
      <c r="H21" s="3">
        <v>30.657394</v>
      </c>
      <c r="I21" s="3">
        <v>1</v>
      </c>
      <c r="J21" s="3">
        <v>1</v>
      </c>
      <c r="K21" s="3">
        <v>4</v>
      </c>
      <c r="L21" s="3">
        <v>2024</v>
      </c>
      <c r="M21" s="5">
        <v>45748</v>
      </c>
      <c r="O21" s="3">
        <v>23.83792</v>
      </c>
      <c r="P21" s="3">
        <v>1</v>
      </c>
      <c r="Q21" s="3">
        <v>1</v>
      </c>
      <c r="R21" s="3">
        <v>4</v>
      </c>
      <c r="S21" s="3">
        <v>2024</v>
      </c>
      <c r="T21" s="5">
        <v>45748</v>
      </c>
    </row>
    <row r="22" spans="1:20" x14ac:dyDescent="0.3">
      <c r="A22" s="3">
        <v>27.943957999999999</v>
      </c>
      <c r="B22" s="3">
        <v>2</v>
      </c>
      <c r="C22" s="3">
        <v>6</v>
      </c>
      <c r="D22" s="3">
        <v>4</v>
      </c>
      <c r="E22" s="3">
        <v>2024</v>
      </c>
      <c r="F22" s="5">
        <v>45753</v>
      </c>
      <c r="G22"/>
      <c r="H22" s="3">
        <v>30.861599999999999</v>
      </c>
      <c r="I22" s="3">
        <v>2</v>
      </c>
      <c r="J22" s="3">
        <v>6</v>
      </c>
      <c r="K22" s="3">
        <v>4</v>
      </c>
      <c r="L22" s="3">
        <v>2024</v>
      </c>
      <c r="M22" s="5">
        <v>45753</v>
      </c>
      <c r="O22" s="3">
        <v>25.026313999999999</v>
      </c>
      <c r="P22" s="3">
        <v>2</v>
      </c>
      <c r="Q22" s="3">
        <v>6</v>
      </c>
      <c r="R22" s="3">
        <v>4</v>
      </c>
      <c r="S22" s="3">
        <v>2024</v>
      </c>
      <c r="T22" s="5">
        <v>45753</v>
      </c>
    </row>
    <row r="23" spans="1:20" x14ac:dyDescent="0.3">
      <c r="A23" s="3">
        <v>28.123487000000001</v>
      </c>
      <c r="B23" s="3">
        <v>3</v>
      </c>
      <c r="C23" s="3">
        <v>11</v>
      </c>
      <c r="D23" s="3">
        <v>4</v>
      </c>
      <c r="E23" s="3">
        <v>2024</v>
      </c>
      <c r="F23" s="5">
        <v>45758</v>
      </c>
      <c r="G23"/>
      <c r="H23" s="3">
        <v>31.239668000000002</v>
      </c>
      <c r="I23" s="3">
        <v>3</v>
      </c>
      <c r="J23" s="3">
        <v>11</v>
      </c>
      <c r="K23" s="3">
        <v>4</v>
      </c>
      <c r="L23" s="3">
        <v>2024</v>
      </c>
      <c r="M23" s="5">
        <v>45758</v>
      </c>
      <c r="O23" s="3">
        <v>25.007307000000001</v>
      </c>
      <c r="P23" s="3">
        <v>3</v>
      </c>
      <c r="Q23" s="3">
        <v>11</v>
      </c>
      <c r="R23" s="3">
        <v>4</v>
      </c>
      <c r="S23" s="3">
        <v>2024</v>
      </c>
      <c r="T23" s="5">
        <v>45758</v>
      </c>
    </row>
    <row r="24" spans="1:20" x14ac:dyDescent="0.3">
      <c r="A24" s="3">
        <v>27.818455</v>
      </c>
      <c r="B24" s="3">
        <v>4</v>
      </c>
      <c r="C24" s="3">
        <v>16</v>
      </c>
      <c r="D24" s="3">
        <v>4</v>
      </c>
      <c r="E24" s="3">
        <v>2024</v>
      </c>
      <c r="F24" s="5">
        <v>45763</v>
      </c>
      <c r="G24"/>
      <c r="H24" s="3">
        <v>31.165222</v>
      </c>
      <c r="I24" s="3">
        <v>4</v>
      </c>
      <c r="J24" s="3">
        <v>16</v>
      </c>
      <c r="K24" s="3">
        <v>4</v>
      </c>
      <c r="L24" s="3">
        <v>2024</v>
      </c>
      <c r="M24" s="5">
        <v>45763</v>
      </c>
      <c r="O24" s="3">
        <v>24.471684</v>
      </c>
      <c r="P24" s="3">
        <v>4</v>
      </c>
      <c r="Q24" s="3">
        <v>16</v>
      </c>
      <c r="R24" s="3">
        <v>4</v>
      </c>
      <c r="S24" s="3">
        <v>2024</v>
      </c>
      <c r="T24" s="5">
        <v>45763</v>
      </c>
    </row>
    <row r="25" spans="1:20" x14ac:dyDescent="0.3">
      <c r="A25" s="3">
        <v>27.41658</v>
      </c>
      <c r="B25" s="3">
        <v>5</v>
      </c>
      <c r="C25" s="3">
        <v>21</v>
      </c>
      <c r="D25" s="3">
        <v>4</v>
      </c>
      <c r="E25" s="3">
        <v>2024</v>
      </c>
      <c r="F25" s="5">
        <v>45768</v>
      </c>
      <c r="G25"/>
      <c r="H25" s="3">
        <v>30.060009000000001</v>
      </c>
      <c r="I25" s="3">
        <v>5</v>
      </c>
      <c r="J25" s="3">
        <v>21</v>
      </c>
      <c r="K25" s="3">
        <v>4</v>
      </c>
      <c r="L25" s="3">
        <v>2024</v>
      </c>
      <c r="M25" s="5">
        <v>45768</v>
      </c>
      <c r="O25" s="3">
        <v>24.773154999999999</v>
      </c>
      <c r="P25" s="3">
        <v>5</v>
      </c>
      <c r="Q25" s="3">
        <v>21</v>
      </c>
      <c r="R25" s="3">
        <v>4</v>
      </c>
      <c r="S25" s="3">
        <v>2024</v>
      </c>
      <c r="T25" s="5">
        <v>45768</v>
      </c>
    </row>
    <row r="26" spans="1:20" x14ac:dyDescent="0.3">
      <c r="A26" s="3">
        <v>27.319936999999999</v>
      </c>
      <c r="B26" s="3">
        <v>6</v>
      </c>
      <c r="C26" s="3">
        <v>26</v>
      </c>
      <c r="D26" s="3">
        <v>4</v>
      </c>
      <c r="E26" s="3">
        <v>2024</v>
      </c>
      <c r="F26" s="5">
        <v>45773</v>
      </c>
      <c r="G26"/>
      <c r="H26" s="3">
        <v>30.104538000000002</v>
      </c>
      <c r="I26" s="3">
        <v>6</v>
      </c>
      <c r="J26" s="3">
        <v>26</v>
      </c>
      <c r="K26" s="3">
        <v>4</v>
      </c>
      <c r="L26" s="3">
        <v>2024</v>
      </c>
      <c r="M26" s="5">
        <v>45773</v>
      </c>
      <c r="O26" s="3">
        <v>24.535333999999999</v>
      </c>
      <c r="P26" s="3">
        <v>6</v>
      </c>
      <c r="Q26" s="3">
        <v>26</v>
      </c>
      <c r="R26" s="3">
        <v>4</v>
      </c>
      <c r="S26" s="3">
        <v>2024</v>
      </c>
      <c r="T26" s="5">
        <v>45773</v>
      </c>
    </row>
    <row r="27" spans="1:20" x14ac:dyDescent="0.3">
      <c r="A27" s="3">
        <v>27.318459000000001</v>
      </c>
      <c r="B27" s="3">
        <v>1</v>
      </c>
      <c r="C27" s="3">
        <v>1</v>
      </c>
      <c r="D27" s="3">
        <v>5</v>
      </c>
      <c r="E27" s="3">
        <v>2024</v>
      </c>
      <c r="F27" s="5">
        <v>45778</v>
      </c>
      <c r="G27"/>
      <c r="H27" s="3">
        <v>30.326371999999999</v>
      </c>
      <c r="I27" s="3">
        <v>1</v>
      </c>
      <c r="J27" s="3">
        <v>1</v>
      </c>
      <c r="K27" s="3">
        <v>5</v>
      </c>
      <c r="L27" s="3">
        <v>2024</v>
      </c>
      <c r="M27" s="5">
        <v>45778</v>
      </c>
      <c r="O27" s="3">
        <v>24.31054</v>
      </c>
      <c r="P27" s="3">
        <v>1</v>
      </c>
      <c r="Q27" s="3">
        <v>1</v>
      </c>
      <c r="R27" s="3">
        <v>5</v>
      </c>
      <c r="S27" s="3">
        <v>2024</v>
      </c>
      <c r="T27" s="5">
        <v>45778</v>
      </c>
    </row>
    <row r="28" spans="1:20" x14ac:dyDescent="0.3">
      <c r="A28" s="3">
        <v>27.594792999999999</v>
      </c>
      <c r="B28" s="3">
        <v>2</v>
      </c>
      <c r="C28" s="3">
        <v>6</v>
      </c>
      <c r="D28" s="3">
        <v>5</v>
      </c>
      <c r="E28" s="3">
        <v>2024</v>
      </c>
      <c r="F28" s="5">
        <v>45783</v>
      </c>
      <c r="G28"/>
      <c r="H28" s="3">
        <v>30.30341</v>
      </c>
      <c r="I28" s="3">
        <v>2</v>
      </c>
      <c r="J28" s="3">
        <v>6</v>
      </c>
      <c r="K28" s="3">
        <v>5</v>
      </c>
      <c r="L28" s="3">
        <v>2024</v>
      </c>
      <c r="M28" s="5">
        <v>45783</v>
      </c>
      <c r="O28" s="3">
        <v>24.886178999999998</v>
      </c>
      <c r="P28" s="3">
        <v>2</v>
      </c>
      <c r="Q28" s="3">
        <v>6</v>
      </c>
      <c r="R28" s="3">
        <v>5</v>
      </c>
      <c r="S28" s="3">
        <v>2024</v>
      </c>
      <c r="T28" s="5">
        <v>45783</v>
      </c>
    </row>
    <row r="29" spans="1:20" x14ac:dyDescent="0.3">
      <c r="A29" s="3">
        <v>27.48901</v>
      </c>
      <c r="B29" s="3">
        <v>3</v>
      </c>
      <c r="C29" s="3">
        <v>11</v>
      </c>
      <c r="D29" s="3">
        <v>5</v>
      </c>
      <c r="E29" s="3">
        <v>2024</v>
      </c>
      <c r="F29" s="5">
        <v>45788</v>
      </c>
      <c r="G29"/>
      <c r="H29" s="3">
        <v>30.255521999999999</v>
      </c>
      <c r="I29" s="3">
        <v>3</v>
      </c>
      <c r="J29" s="3">
        <v>11</v>
      </c>
      <c r="K29" s="3">
        <v>5</v>
      </c>
      <c r="L29" s="3">
        <v>2024</v>
      </c>
      <c r="M29" s="5">
        <v>45788</v>
      </c>
      <c r="O29" s="3">
        <v>24.722501999999999</v>
      </c>
      <c r="P29" s="3">
        <v>3</v>
      </c>
      <c r="Q29" s="3">
        <v>11</v>
      </c>
      <c r="R29" s="3">
        <v>5</v>
      </c>
      <c r="S29" s="3">
        <v>2024</v>
      </c>
      <c r="T29" s="5">
        <v>45788</v>
      </c>
    </row>
    <row r="30" spans="1:20" x14ac:dyDescent="0.3">
      <c r="A30" s="3">
        <v>27.550093</v>
      </c>
      <c r="B30" s="3">
        <v>4</v>
      </c>
      <c r="C30" s="3">
        <v>16</v>
      </c>
      <c r="D30" s="3">
        <v>5</v>
      </c>
      <c r="E30" s="3">
        <v>2024</v>
      </c>
      <c r="F30" s="5">
        <v>45793</v>
      </c>
      <c r="G30"/>
      <c r="H30" s="3">
        <v>30.144707</v>
      </c>
      <c r="I30" s="3">
        <v>4</v>
      </c>
      <c r="J30" s="3">
        <v>16</v>
      </c>
      <c r="K30" s="3">
        <v>5</v>
      </c>
      <c r="L30" s="3">
        <v>2024</v>
      </c>
      <c r="M30" s="5">
        <v>45793</v>
      </c>
      <c r="O30" s="3">
        <v>24.955476999999998</v>
      </c>
      <c r="P30" s="3">
        <v>4</v>
      </c>
      <c r="Q30" s="3">
        <v>16</v>
      </c>
      <c r="R30" s="3">
        <v>5</v>
      </c>
      <c r="S30" s="3">
        <v>2024</v>
      </c>
      <c r="T30" s="5">
        <v>45793</v>
      </c>
    </row>
    <row r="31" spans="1:20" x14ac:dyDescent="0.3">
      <c r="A31" s="3">
        <v>27.356839999999998</v>
      </c>
      <c r="B31" s="3">
        <v>5</v>
      </c>
      <c r="C31" s="3">
        <v>21</v>
      </c>
      <c r="D31" s="3">
        <v>5</v>
      </c>
      <c r="E31" s="3">
        <v>2024</v>
      </c>
      <c r="F31" s="5">
        <v>45798</v>
      </c>
      <c r="G31"/>
      <c r="H31" s="3">
        <v>29.902961999999999</v>
      </c>
      <c r="I31" s="3">
        <v>5</v>
      </c>
      <c r="J31" s="3">
        <v>21</v>
      </c>
      <c r="K31" s="3">
        <v>5</v>
      </c>
      <c r="L31" s="3">
        <v>2024</v>
      </c>
      <c r="M31" s="5">
        <v>45798</v>
      </c>
      <c r="O31" s="3">
        <v>24.810718999999999</v>
      </c>
      <c r="P31" s="3">
        <v>5</v>
      </c>
      <c r="Q31" s="3">
        <v>21</v>
      </c>
      <c r="R31" s="3">
        <v>5</v>
      </c>
      <c r="S31" s="3">
        <v>2024</v>
      </c>
      <c r="T31" s="5">
        <v>45798</v>
      </c>
    </row>
    <row r="32" spans="1:20" x14ac:dyDescent="0.3">
      <c r="A32" s="3">
        <v>27.205719999999999</v>
      </c>
      <c r="B32" s="3">
        <v>6</v>
      </c>
      <c r="C32" s="3">
        <v>26</v>
      </c>
      <c r="D32" s="3">
        <v>5</v>
      </c>
      <c r="E32" s="3">
        <v>2024</v>
      </c>
      <c r="F32" s="5">
        <v>45803</v>
      </c>
      <c r="G32"/>
      <c r="H32" s="3">
        <v>29.855688000000001</v>
      </c>
      <c r="I32" s="3">
        <v>6</v>
      </c>
      <c r="J32" s="3">
        <v>26</v>
      </c>
      <c r="K32" s="3">
        <v>5</v>
      </c>
      <c r="L32" s="3">
        <v>2024</v>
      </c>
      <c r="M32" s="5">
        <v>45803</v>
      </c>
      <c r="O32" s="3">
        <v>24.555755999999999</v>
      </c>
      <c r="P32" s="3">
        <v>6</v>
      </c>
      <c r="Q32" s="3">
        <v>26</v>
      </c>
      <c r="R32" s="3">
        <v>5</v>
      </c>
      <c r="S32" s="3">
        <v>2024</v>
      </c>
      <c r="T32" s="5">
        <v>45803</v>
      </c>
    </row>
    <row r="33" spans="1:20" x14ac:dyDescent="0.3">
      <c r="A33" s="3">
        <v>27.506851000000001</v>
      </c>
      <c r="B33" s="3">
        <v>1</v>
      </c>
      <c r="C33" s="3">
        <v>1</v>
      </c>
      <c r="D33" s="3">
        <v>6</v>
      </c>
      <c r="E33" s="3">
        <v>2024</v>
      </c>
      <c r="F33" s="5">
        <v>45809</v>
      </c>
      <c r="G33"/>
      <c r="H33" s="3">
        <v>30.095510000000001</v>
      </c>
      <c r="I33" s="3">
        <v>1</v>
      </c>
      <c r="J33" s="3">
        <v>1</v>
      </c>
      <c r="K33" s="3">
        <v>6</v>
      </c>
      <c r="L33" s="3">
        <v>2024</v>
      </c>
      <c r="M33" s="5">
        <v>45809</v>
      </c>
      <c r="O33" s="3">
        <v>24.918189999999999</v>
      </c>
      <c r="P33" s="3">
        <v>1</v>
      </c>
      <c r="Q33" s="3">
        <v>1</v>
      </c>
      <c r="R33" s="3">
        <v>6</v>
      </c>
      <c r="S33" s="3">
        <v>2024</v>
      </c>
      <c r="T33" s="5">
        <v>45809</v>
      </c>
    </row>
    <row r="34" spans="1:20" x14ac:dyDescent="0.3">
      <c r="A34" s="3">
        <v>27.261023000000002</v>
      </c>
      <c r="B34" s="3">
        <v>2</v>
      </c>
      <c r="C34" s="3">
        <v>6</v>
      </c>
      <c r="D34" s="3">
        <v>6</v>
      </c>
      <c r="E34" s="3">
        <v>2024</v>
      </c>
      <c r="F34" s="5">
        <v>45814</v>
      </c>
      <c r="G34"/>
      <c r="H34" s="3">
        <v>29.740849999999998</v>
      </c>
      <c r="I34" s="3">
        <v>2</v>
      </c>
      <c r="J34" s="3">
        <v>6</v>
      </c>
      <c r="K34" s="3">
        <v>6</v>
      </c>
      <c r="L34" s="3">
        <v>2024</v>
      </c>
      <c r="M34" s="5">
        <v>45814</v>
      </c>
      <c r="O34" s="3">
        <v>24.781199000000001</v>
      </c>
      <c r="P34" s="3">
        <v>2</v>
      </c>
      <c r="Q34" s="3">
        <v>6</v>
      </c>
      <c r="R34" s="3">
        <v>6</v>
      </c>
      <c r="S34" s="3">
        <v>2024</v>
      </c>
      <c r="T34" s="5">
        <v>45814</v>
      </c>
    </row>
    <row r="35" spans="1:20" x14ac:dyDescent="0.3">
      <c r="A35" s="3">
        <v>26.814675999999999</v>
      </c>
      <c r="B35" s="3">
        <v>3</v>
      </c>
      <c r="C35" s="3">
        <v>11</v>
      </c>
      <c r="D35" s="3">
        <v>6</v>
      </c>
      <c r="E35" s="3">
        <v>2024</v>
      </c>
      <c r="F35" s="5">
        <v>45819</v>
      </c>
      <c r="G35"/>
      <c r="H35" s="3">
        <v>28.937166000000001</v>
      </c>
      <c r="I35" s="3">
        <v>3</v>
      </c>
      <c r="J35" s="3">
        <v>11</v>
      </c>
      <c r="K35" s="3">
        <v>6</v>
      </c>
      <c r="L35" s="3">
        <v>2024</v>
      </c>
      <c r="M35" s="5">
        <v>45819</v>
      </c>
      <c r="O35" s="3">
        <v>24.692194000000001</v>
      </c>
      <c r="P35" s="3">
        <v>3</v>
      </c>
      <c r="Q35" s="3">
        <v>11</v>
      </c>
      <c r="R35" s="3">
        <v>6</v>
      </c>
      <c r="S35" s="3">
        <v>2024</v>
      </c>
      <c r="T35" s="5">
        <v>45819</v>
      </c>
    </row>
    <row r="36" spans="1:20" x14ac:dyDescent="0.3">
      <c r="A36" s="3">
        <v>26.82235</v>
      </c>
      <c r="B36" s="3">
        <v>4</v>
      </c>
      <c r="C36" s="3">
        <v>16</v>
      </c>
      <c r="D36" s="3">
        <v>6</v>
      </c>
      <c r="E36" s="3">
        <v>2024</v>
      </c>
      <c r="F36" s="5">
        <v>45824</v>
      </c>
      <c r="G36"/>
      <c r="H36" s="3">
        <v>29.119413000000002</v>
      </c>
      <c r="I36" s="3">
        <v>4</v>
      </c>
      <c r="J36" s="3">
        <v>16</v>
      </c>
      <c r="K36" s="3">
        <v>6</v>
      </c>
      <c r="L36" s="3">
        <v>2024</v>
      </c>
      <c r="M36" s="5">
        <v>45824</v>
      </c>
      <c r="O36" s="3">
        <v>24.525288</v>
      </c>
      <c r="P36" s="3">
        <v>4</v>
      </c>
      <c r="Q36" s="3">
        <v>16</v>
      </c>
      <c r="R36" s="3">
        <v>6</v>
      </c>
      <c r="S36" s="3">
        <v>2024</v>
      </c>
      <c r="T36" s="5">
        <v>45824</v>
      </c>
    </row>
    <row r="37" spans="1:20" x14ac:dyDescent="0.3">
      <c r="A37" s="3">
        <v>26.782278000000002</v>
      </c>
      <c r="B37" s="3">
        <v>5</v>
      </c>
      <c r="C37" s="3">
        <v>21</v>
      </c>
      <c r="D37" s="3">
        <v>6</v>
      </c>
      <c r="E37" s="3">
        <v>2024</v>
      </c>
      <c r="F37" s="5">
        <v>45829</v>
      </c>
      <c r="G37"/>
      <c r="H37" s="3">
        <v>29.326848999999999</v>
      </c>
      <c r="I37" s="3">
        <v>5</v>
      </c>
      <c r="J37" s="3">
        <v>21</v>
      </c>
      <c r="K37" s="3">
        <v>6</v>
      </c>
      <c r="L37" s="3">
        <v>2024</v>
      </c>
      <c r="M37" s="5">
        <v>45829</v>
      </c>
      <c r="O37" s="3">
        <v>24.237712999999999</v>
      </c>
      <c r="P37" s="3">
        <v>5</v>
      </c>
      <c r="Q37" s="3">
        <v>21</v>
      </c>
      <c r="R37" s="3">
        <v>6</v>
      </c>
      <c r="S37" s="3">
        <v>2024</v>
      </c>
      <c r="T37" s="5">
        <v>45829</v>
      </c>
    </row>
    <row r="38" spans="1:20" x14ac:dyDescent="0.3">
      <c r="A38" s="3">
        <v>26.585407</v>
      </c>
      <c r="B38" s="3">
        <v>6</v>
      </c>
      <c r="C38" s="3">
        <v>26</v>
      </c>
      <c r="D38" s="3">
        <v>6</v>
      </c>
      <c r="E38" s="3">
        <v>2024</v>
      </c>
      <c r="F38" s="5">
        <v>45834</v>
      </c>
      <c r="G38"/>
      <c r="H38" s="3">
        <v>29.03633</v>
      </c>
      <c r="I38" s="3">
        <v>6</v>
      </c>
      <c r="J38" s="3">
        <v>26</v>
      </c>
      <c r="K38" s="3">
        <v>6</v>
      </c>
      <c r="L38" s="3">
        <v>2024</v>
      </c>
      <c r="M38" s="5">
        <v>45834</v>
      </c>
      <c r="O38" s="3">
        <v>24.134481000000001</v>
      </c>
      <c r="P38" s="3">
        <v>6</v>
      </c>
      <c r="Q38" s="3">
        <v>26</v>
      </c>
      <c r="R38" s="3">
        <v>6</v>
      </c>
      <c r="S38" s="3">
        <v>2024</v>
      </c>
      <c r="T38" s="5">
        <v>45834</v>
      </c>
    </row>
    <row r="39" spans="1:20" x14ac:dyDescent="0.3">
      <c r="A39" s="3">
        <v>27.038166</v>
      </c>
      <c r="B39" s="3">
        <v>1</v>
      </c>
      <c r="C39" s="3">
        <v>1</v>
      </c>
      <c r="D39" s="3">
        <v>7</v>
      </c>
      <c r="E39" s="3">
        <v>2024</v>
      </c>
      <c r="F39" s="5">
        <v>45839</v>
      </c>
      <c r="G39"/>
      <c r="H39" s="3">
        <v>29.515709999999999</v>
      </c>
      <c r="I39" s="3">
        <v>1</v>
      </c>
      <c r="J39" s="3">
        <v>1</v>
      </c>
      <c r="K39" s="3">
        <v>7</v>
      </c>
      <c r="L39" s="3">
        <v>2024</v>
      </c>
      <c r="M39" s="5">
        <v>45839</v>
      </c>
      <c r="O39" s="3">
        <v>24.56062</v>
      </c>
      <c r="P39" s="3">
        <v>1</v>
      </c>
      <c r="Q39" s="3">
        <v>1</v>
      </c>
      <c r="R39" s="3">
        <v>7</v>
      </c>
      <c r="S39" s="3">
        <v>2024</v>
      </c>
      <c r="T39" s="5">
        <v>45839</v>
      </c>
    </row>
    <row r="40" spans="1:20" x14ac:dyDescent="0.3">
      <c r="A40" s="3">
        <v>27.087778</v>
      </c>
      <c r="B40" s="3">
        <v>2</v>
      </c>
      <c r="C40" s="3">
        <v>6</v>
      </c>
      <c r="D40" s="3">
        <v>7</v>
      </c>
      <c r="E40" s="3">
        <v>2024</v>
      </c>
      <c r="F40" s="5">
        <v>45844</v>
      </c>
      <c r="G40"/>
      <c r="H40" s="3">
        <v>29.614424</v>
      </c>
      <c r="I40" s="3">
        <v>2</v>
      </c>
      <c r="J40" s="3">
        <v>6</v>
      </c>
      <c r="K40" s="3">
        <v>7</v>
      </c>
      <c r="L40" s="3">
        <v>2024</v>
      </c>
      <c r="M40" s="5">
        <v>45844</v>
      </c>
      <c r="O40" s="3">
        <v>24.561138</v>
      </c>
      <c r="P40" s="3">
        <v>2</v>
      </c>
      <c r="Q40" s="3">
        <v>6</v>
      </c>
      <c r="R40" s="3">
        <v>7</v>
      </c>
      <c r="S40" s="3">
        <v>2024</v>
      </c>
      <c r="T40" s="5">
        <v>45844</v>
      </c>
    </row>
    <row r="41" spans="1:20" x14ac:dyDescent="0.3">
      <c r="A41" s="3">
        <v>27.469529999999999</v>
      </c>
      <c r="B41" s="3">
        <v>3</v>
      </c>
      <c r="C41" s="3">
        <v>11</v>
      </c>
      <c r="D41" s="3">
        <v>7</v>
      </c>
      <c r="E41" s="3">
        <v>2024</v>
      </c>
      <c r="F41" s="5">
        <v>45849</v>
      </c>
      <c r="G41"/>
      <c r="H41" s="3">
        <v>29.921289999999999</v>
      </c>
      <c r="I41" s="3">
        <v>3</v>
      </c>
      <c r="J41" s="3">
        <v>11</v>
      </c>
      <c r="K41" s="3">
        <v>7</v>
      </c>
      <c r="L41" s="3">
        <v>2024</v>
      </c>
      <c r="M41" s="5">
        <v>45849</v>
      </c>
      <c r="O41" s="3">
        <v>25.017765000000001</v>
      </c>
      <c r="P41" s="3">
        <v>3</v>
      </c>
      <c r="Q41" s="3">
        <v>11</v>
      </c>
      <c r="R41" s="3">
        <v>7</v>
      </c>
      <c r="S41" s="3">
        <v>2024</v>
      </c>
      <c r="T41" s="5">
        <v>45849</v>
      </c>
    </row>
    <row r="42" spans="1:20" x14ac:dyDescent="0.3">
      <c r="A42" s="3">
        <v>27.419733000000001</v>
      </c>
      <c r="B42" s="3">
        <v>4</v>
      </c>
      <c r="C42" s="3">
        <v>16</v>
      </c>
      <c r="D42" s="3">
        <v>7</v>
      </c>
      <c r="E42" s="3">
        <v>2024</v>
      </c>
      <c r="F42" s="5">
        <v>45854</v>
      </c>
      <c r="G42"/>
      <c r="H42" s="3">
        <v>30.058266</v>
      </c>
      <c r="I42" s="3">
        <v>4</v>
      </c>
      <c r="J42" s="3">
        <v>16</v>
      </c>
      <c r="K42" s="3">
        <v>7</v>
      </c>
      <c r="L42" s="3">
        <v>2024</v>
      </c>
      <c r="M42" s="5">
        <v>45854</v>
      </c>
      <c r="O42" s="3">
        <v>24.781206000000001</v>
      </c>
      <c r="P42" s="3">
        <v>4</v>
      </c>
      <c r="Q42" s="3">
        <v>16</v>
      </c>
      <c r="R42" s="3">
        <v>7</v>
      </c>
      <c r="S42" s="3">
        <v>2024</v>
      </c>
      <c r="T42" s="5">
        <v>45854</v>
      </c>
    </row>
    <row r="43" spans="1:20" x14ac:dyDescent="0.3">
      <c r="A43" s="3">
        <v>27.552482999999999</v>
      </c>
      <c r="B43" s="3">
        <v>5</v>
      </c>
      <c r="C43" s="3">
        <v>21</v>
      </c>
      <c r="D43" s="3">
        <v>7</v>
      </c>
      <c r="E43" s="3">
        <v>2024</v>
      </c>
      <c r="F43" s="5">
        <v>45859</v>
      </c>
      <c r="G43"/>
      <c r="H43" s="3">
        <v>30.302301</v>
      </c>
      <c r="I43" s="3">
        <v>5</v>
      </c>
      <c r="J43" s="3">
        <v>21</v>
      </c>
      <c r="K43" s="3">
        <v>7</v>
      </c>
      <c r="L43" s="3">
        <v>2024</v>
      </c>
      <c r="M43" s="5">
        <v>45859</v>
      </c>
      <c r="O43" s="3">
        <v>24.802668000000001</v>
      </c>
      <c r="P43" s="3">
        <v>5</v>
      </c>
      <c r="Q43" s="3">
        <v>21</v>
      </c>
      <c r="R43" s="3">
        <v>7</v>
      </c>
      <c r="S43" s="3">
        <v>2024</v>
      </c>
      <c r="T43" s="5">
        <v>45859</v>
      </c>
    </row>
    <row r="44" spans="1:20" x14ac:dyDescent="0.3">
      <c r="A44" s="3">
        <v>27.402979999999999</v>
      </c>
      <c r="B44" s="3">
        <v>6</v>
      </c>
      <c r="C44" s="3">
        <v>26</v>
      </c>
      <c r="D44" s="3">
        <v>7</v>
      </c>
      <c r="E44" s="3">
        <v>2024</v>
      </c>
      <c r="F44" s="5">
        <v>45864</v>
      </c>
      <c r="G44"/>
      <c r="H44" s="3">
        <v>29.926490000000001</v>
      </c>
      <c r="I44" s="3">
        <v>6</v>
      </c>
      <c r="J44" s="3">
        <v>26</v>
      </c>
      <c r="K44" s="3">
        <v>7</v>
      </c>
      <c r="L44" s="3">
        <v>2024</v>
      </c>
      <c r="M44" s="5">
        <v>45864</v>
      </c>
      <c r="O44" s="3">
        <v>24.879470000000001</v>
      </c>
      <c r="P44" s="3">
        <v>6</v>
      </c>
      <c r="Q44" s="3">
        <v>26</v>
      </c>
      <c r="R44" s="3">
        <v>7</v>
      </c>
      <c r="S44" s="3">
        <v>2024</v>
      </c>
      <c r="T44" s="5">
        <v>45864</v>
      </c>
    </row>
    <row r="45" spans="1:20" x14ac:dyDescent="0.3">
      <c r="A45" s="3">
        <v>26.824680000000001</v>
      </c>
      <c r="B45" s="3">
        <v>1</v>
      </c>
      <c r="C45" s="3">
        <v>1</v>
      </c>
      <c r="D45" s="3">
        <v>8</v>
      </c>
      <c r="E45" s="3">
        <v>2024</v>
      </c>
      <c r="F45" s="5">
        <v>45870</v>
      </c>
      <c r="G45"/>
      <c r="H45" s="3">
        <v>29.653680000000001</v>
      </c>
      <c r="I45" s="3">
        <v>1</v>
      </c>
      <c r="J45" s="3">
        <v>1</v>
      </c>
      <c r="K45" s="3">
        <v>8</v>
      </c>
      <c r="L45" s="3">
        <v>2024</v>
      </c>
      <c r="M45" s="5">
        <v>45870</v>
      </c>
      <c r="O45" s="3">
        <v>23.995678000000002</v>
      </c>
      <c r="P45" s="3">
        <v>1</v>
      </c>
      <c r="Q45" s="3">
        <v>1</v>
      </c>
      <c r="R45" s="3">
        <v>8</v>
      </c>
      <c r="S45" s="3">
        <v>2024</v>
      </c>
      <c r="T45" s="5">
        <v>45870</v>
      </c>
    </row>
    <row r="46" spans="1:20" x14ac:dyDescent="0.3">
      <c r="A46" s="3">
        <v>26.758355999999999</v>
      </c>
      <c r="B46" s="3">
        <v>2</v>
      </c>
      <c r="C46" s="3">
        <v>6</v>
      </c>
      <c r="D46" s="3">
        <v>8</v>
      </c>
      <c r="E46" s="3">
        <v>2024</v>
      </c>
      <c r="F46" s="5">
        <v>45875</v>
      </c>
      <c r="G46"/>
      <c r="H46" s="3">
        <v>29.337498</v>
      </c>
      <c r="I46" s="3">
        <v>2</v>
      </c>
      <c r="J46" s="3">
        <v>6</v>
      </c>
      <c r="K46" s="3">
        <v>8</v>
      </c>
      <c r="L46" s="3">
        <v>2024</v>
      </c>
      <c r="M46" s="5">
        <v>45875</v>
      </c>
      <c r="O46" s="3">
        <v>24.179210000000001</v>
      </c>
      <c r="P46" s="3">
        <v>2</v>
      </c>
      <c r="Q46" s="3">
        <v>6</v>
      </c>
      <c r="R46" s="3">
        <v>8</v>
      </c>
      <c r="S46" s="3">
        <v>2024</v>
      </c>
      <c r="T46" s="5">
        <v>45875</v>
      </c>
    </row>
    <row r="47" spans="1:20" x14ac:dyDescent="0.3">
      <c r="A47" s="3">
        <v>27.110714000000002</v>
      </c>
      <c r="B47" s="3">
        <v>3</v>
      </c>
      <c r="C47" s="3">
        <v>11</v>
      </c>
      <c r="D47" s="3">
        <v>8</v>
      </c>
      <c r="E47" s="3">
        <v>2024</v>
      </c>
      <c r="F47" s="5">
        <v>45880</v>
      </c>
      <c r="G47"/>
      <c r="H47" s="3">
        <v>30.000153999999998</v>
      </c>
      <c r="I47" s="3">
        <v>3</v>
      </c>
      <c r="J47" s="3">
        <v>11</v>
      </c>
      <c r="K47" s="3">
        <v>8</v>
      </c>
      <c r="L47" s="3">
        <v>2024</v>
      </c>
      <c r="M47" s="5">
        <v>45880</v>
      </c>
      <c r="O47" s="3">
        <v>24.221271999999999</v>
      </c>
      <c r="P47" s="3">
        <v>3</v>
      </c>
      <c r="Q47" s="3">
        <v>11</v>
      </c>
      <c r="R47" s="3">
        <v>8</v>
      </c>
      <c r="S47" s="3">
        <v>2024</v>
      </c>
      <c r="T47" s="5">
        <v>45880</v>
      </c>
    </row>
    <row r="48" spans="1:20" x14ac:dyDescent="0.3">
      <c r="A48" s="3">
        <v>27.472951999999999</v>
      </c>
      <c r="B48" s="3">
        <v>4</v>
      </c>
      <c r="C48" s="3">
        <v>16</v>
      </c>
      <c r="D48" s="3">
        <v>8</v>
      </c>
      <c r="E48" s="3">
        <v>2024</v>
      </c>
      <c r="F48" s="5">
        <v>45885</v>
      </c>
      <c r="G48"/>
      <c r="H48" s="3">
        <v>30.385446999999999</v>
      </c>
      <c r="I48" s="3">
        <v>4</v>
      </c>
      <c r="J48" s="3">
        <v>16</v>
      </c>
      <c r="K48" s="3">
        <v>8</v>
      </c>
      <c r="L48" s="3">
        <v>2024</v>
      </c>
      <c r="M48" s="5">
        <v>45885</v>
      </c>
      <c r="O48" s="3">
        <v>24.560452999999999</v>
      </c>
      <c r="P48" s="3">
        <v>4</v>
      </c>
      <c r="Q48" s="3">
        <v>16</v>
      </c>
      <c r="R48" s="3">
        <v>8</v>
      </c>
      <c r="S48" s="3">
        <v>2024</v>
      </c>
      <c r="T48" s="5">
        <v>45885</v>
      </c>
    </row>
    <row r="49" spans="1:20" x14ac:dyDescent="0.3">
      <c r="A49" s="3">
        <v>26.766120000000001</v>
      </c>
      <c r="B49" s="3">
        <v>5</v>
      </c>
      <c r="C49" s="3">
        <v>21</v>
      </c>
      <c r="D49" s="3">
        <v>8</v>
      </c>
      <c r="E49" s="3">
        <v>2024</v>
      </c>
      <c r="F49" s="5">
        <v>45890</v>
      </c>
      <c r="G49"/>
      <c r="H49" s="3">
        <v>29.091996999999999</v>
      </c>
      <c r="I49" s="3">
        <v>5</v>
      </c>
      <c r="J49" s="3">
        <v>21</v>
      </c>
      <c r="K49" s="3">
        <v>8</v>
      </c>
      <c r="L49" s="3">
        <v>2024</v>
      </c>
      <c r="M49" s="5">
        <v>45890</v>
      </c>
      <c r="O49" s="3">
        <v>24.440248</v>
      </c>
      <c r="P49" s="3">
        <v>5</v>
      </c>
      <c r="Q49" s="3">
        <v>21</v>
      </c>
      <c r="R49" s="3">
        <v>8</v>
      </c>
      <c r="S49" s="3">
        <v>2024</v>
      </c>
      <c r="T49" s="5">
        <v>45890</v>
      </c>
    </row>
    <row r="50" spans="1:20" x14ac:dyDescent="0.3">
      <c r="A50" s="3">
        <v>27.228505999999999</v>
      </c>
      <c r="B50" s="3">
        <v>6</v>
      </c>
      <c r="C50" s="3">
        <v>26</v>
      </c>
      <c r="D50" s="3">
        <v>8</v>
      </c>
      <c r="E50" s="3">
        <v>2024</v>
      </c>
      <c r="F50" s="5">
        <v>45895</v>
      </c>
      <c r="G50"/>
      <c r="H50" s="3">
        <v>30.214570999999999</v>
      </c>
      <c r="I50" s="3">
        <v>6</v>
      </c>
      <c r="J50" s="3">
        <v>26</v>
      </c>
      <c r="K50" s="3">
        <v>8</v>
      </c>
      <c r="L50" s="3">
        <v>2024</v>
      </c>
      <c r="M50" s="5">
        <v>45895</v>
      </c>
      <c r="O50" s="3">
        <v>24.242443000000002</v>
      </c>
      <c r="P50" s="3">
        <v>6</v>
      </c>
      <c r="Q50" s="3">
        <v>26</v>
      </c>
      <c r="R50" s="3">
        <v>8</v>
      </c>
      <c r="S50" s="3">
        <v>2024</v>
      </c>
      <c r="T50" s="5">
        <v>45895</v>
      </c>
    </row>
    <row r="51" spans="1:20" x14ac:dyDescent="0.3">
      <c r="A51" s="3">
        <v>26.955748</v>
      </c>
      <c r="B51" s="3">
        <v>1</v>
      </c>
      <c r="C51" s="3">
        <v>1</v>
      </c>
      <c r="D51" s="3">
        <v>9</v>
      </c>
      <c r="E51" s="3">
        <v>2024</v>
      </c>
      <c r="F51" s="5">
        <v>45901</v>
      </c>
      <c r="G51"/>
      <c r="H51" s="3">
        <v>29.831441999999999</v>
      </c>
      <c r="I51" s="3">
        <v>1</v>
      </c>
      <c r="J51" s="3">
        <v>1</v>
      </c>
      <c r="K51" s="3">
        <v>9</v>
      </c>
      <c r="L51" s="3">
        <v>2024</v>
      </c>
      <c r="M51" s="5">
        <v>45901</v>
      </c>
      <c r="O51" s="3">
        <v>24.080055000000002</v>
      </c>
      <c r="P51" s="3">
        <v>1</v>
      </c>
      <c r="Q51" s="3">
        <v>1</v>
      </c>
      <c r="R51" s="3">
        <v>9</v>
      </c>
      <c r="S51" s="3">
        <v>2024</v>
      </c>
      <c r="T51" s="5">
        <v>45901</v>
      </c>
    </row>
    <row r="52" spans="1:20" x14ac:dyDescent="0.3">
      <c r="A52" s="3">
        <v>27.052499999999998</v>
      </c>
      <c r="B52" s="3">
        <v>2</v>
      </c>
      <c r="C52" s="3">
        <v>6</v>
      </c>
      <c r="D52" s="3">
        <v>9</v>
      </c>
      <c r="E52" s="3">
        <v>2024</v>
      </c>
      <c r="F52" s="5">
        <v>45906</v>
      </c>
      <c r="G52"/>
      <c r="H52" s="3">
        <v>29.636126999999998</v>
      </c>
      <c r="I52" s="3">
        <v>2</v>
      </c>
      <c r="J52" s="3">
        <v>6</v>
      </c>
      <c r="K52" s="3">
        <v>9</v>
      </c>
      <c r="L52" s="3">
        <v>2024</v>
      </c>
      <c r="M52" s="5">
        <v>45906</v>
      </c>
      <c r="O52" s="3">
        <v>24.468868000000001</v>
      </c>
      <c r="P52" s="3">
        <v>2</v>
      </c>
      <c r="Q52" s="3">
        <v>6</v>
      </c>
      <c r="R52" s="3">
        <v>9</v>
      </c>
      <c r="S52" s="3">
        <v>2024</v>
      </c>
      <c r="T52" s="5">
        <v>45906</v>
      </c>
    </row>
    <row r="53" spans="1:20" x14ac:dyDescent="0.3">
      <c r="A53" s="3">
        <v>27.361383</v>
      </c>
      <c r="B53" s="3">
        <v>3</v>
      </c>
      <c r="C53" s="3">
        <v>11</v>
      </c>
      <c r="D53" s="3">
        <v>9</v>
      </c>
      <c r="E53" s="3">
        <v>2024</v>
      </c>
      <c r="F53" s="5">
        <v>45911</v>
      </c>
      <c r="G53"/>
      <c r="H53" s="3">
        <v>30.269739999999999</v>
      </c>
      <c r="I53" s="3">
        <v>3</v>
      </c>
      <c r="J53" s="3">
        <v>11</v>
      </c>
      <c r="K53" s="3">
        <v>9</v>
      </c>
      <c r="L53" s="3">
        <v>2024</v>
      </c>
      <c r="M53" s="5">
        <v>45911</v>
      </c>
      <c r="O53" s="3">
        <v>24.453026000000001</v>
      </c>
      <c r="P53" s="3">
        <v>3</v>
      </c>
      <c r="Q53" s="3">
        <v>11</v>
      </c>
      <c r="R53" s="3">
        <v>9</v>
      </c>
      <c r="S53" s="3">
        <v>2024</v>
      </c>
      <c r="T53" s="5">
        <v>45911</v>
      </c>
    </row>
    <row r="54" spans="1:20" x14ac:dyDescent="0.3">
      <c r="A54" s="3">
        <v>27.172129999999999</v>
      </c>
      <c r="B54" s="3">
        <v>4</v>
      </c>
      <c r="C54" s="3">
        <v>16</v>
      </c>
      <c r="D54" s="3">
        <v>9</v>
      </c>
      <c r="E54" s="3">
        <v>2024</v>
      </c>
      <c r="F54" s="5">
        <v>45916</v>
      </c>
      <c r="G54"/>
      <c r="H54" s="3">
        <v>29.808185999999999</v>
      </c>
      <c r="I54" s="3">
        <v>4</v>
      </c>
      <c r="J54" s="3">
        <v>16</v>
      </c>
      <c r="K54" s="3">
        <v>9</v>
      </c>
      <c r="L54" s="3">
        <v>2024</v>
      </c>
      <c r="M54" s="5">
        <v>45916</v>
      </c>
      <c r="O54" s="3">
        <v>24.536072000000001</v>
      </c>
      <c r="P54" s="3">
        <v>4</v>
      </c>
      <c r="Q54" s="3">
        <v>16</v>
      </c>
      <c r="R54" s="3">
        <v>9</v>
      </c>
      <c r="S54" s="3">
        <v>2024</v>
      </c>
      <c r="T54" s="5">
        <v>45916</v>
      </c>
    </row>
    <row r="55" spans="1:20" x14ac:dyDescent="0.3">
      <c r="A55" s="3">
        <v>26.552202000000001</v>
      </c>
      <c r="B55" s="3">
        <v>5</v>
      </c>
      <c r="C55" s="3">
        <v>21</v>
      </c>
      <c r="D55" s="3">
        <v>9</v>
      </c>
      <c r="E55" s="3">
        <v>2024</v>
      </c>
      <c r="F55" s="5">
        <v>45921</v>
      </c>
      <c r="G55"/>
      <c r="H55" s="3">
        <v>28.808562999999999</v>
      </c>
      <c r="I55" s="3">
        <v>5</v>
      </c>
      <c r="J55" s="3">
        <v>21</v>
      </c>
      <c r="K55" s="3">
        <v>9</v>
      </c>
      <c r="L55" s="3">
        <v>2024</v>
      </c>
      <c r="M55" s="5">
        <v>45921</v>
      </c>
      <c r="O55" s="3">
        <v>24.295839999999998</v>
      </c>
      <c r="P55" s="3">
        <v>5</v>
      </c>
      <c r="Q55" s="3">
        <v>21</v>
      </c>
      <c r="R55" s="3">
        <v>9</v>
      </c>
      <c r="S55" s="3">
        <v>2024</v>
      </c>
      <c r="T55" s="5">
        <v>45921</v>
      </c>
    </row>
    <row r="56" spans="1:20" x14ac:dyDescent="0.3">
      <c r="A56" s="3">
        <v>26.35219</v>
      </c>
      <c r="B56" s="3">
        <v>6</v>
      </c>
      <c r="C56" s="3">
        <v>26</v>
      </c>
      <c r="D56" s="3">
        <v>9</v>
      </c>
      <c r="E56" s="3">
        <v>2024</v>
      </c>
      <c r="F56" s="5">
        <v>45926</v>
      </c>
      <c r="G56"/>
      <c r="H56" s="3">
        <v>28.762336999999999</v>
      </c>
      <c r="I56" s="3">
        <v>6</v>
      </c>
      <c r="J56" s="3">
        <v>26</v>
      </c>
      <c r="K56" s="3">
        <v>9</v>
      </c>
      <c r="L56" s="3">
        <v>2024</v>
      </c>
      <c r="M56" s="5">
        <v>45926</v>
      </c>
      <c r="O56" s="3">
        <v>23.942045</v>
      </c>
      <c r="P56" s="3">
        <v>6</v>
      </c>
      <c r="Q56" s="3">
        <v>26</v>
      </c>
      <c r="R56" s="3">
        <v>9</v>
      </c>
      <c r="S56" s="3">
        <v>2024</v>
      </c>
      <c r="T56" s="5">
        <v>45926</v>
      </c>
    </row>
    <row r="57" spans="1:20" x14ac:dyDescent="0.3">
      <c r="A57" s="3">
        <v>25.947883999999998</v>
      </c>
      <c r="B57" s="3">
        <v>1</v>
      </c>
      <c r="C57" s="3">
        <v>1</v>
      </c>
      <c r="D57" s="3">
        <v>1</v>
      </c>
      <c r="E57" s="3">
        <v>2025</v>
      </c>
      <c r="F57" s="5">
        <v>45658</v>
      </c>
      <c r="G57"/>
      <c r="H57" s="3">
        <v>28.270567</v>
      </c>
      <c r="I57" s="3">
        <v>1</v>
      </c>
      <c r="J57" s="3">
        <v>1</v>
      </c>
      <c r="K57" s="3">
        <v>1</v>
      </c>
      <c r="L57" s="3">
        <v>2025</v>
      </c>
      <c r="M57" s="5">
        <v>45658</v>
      </c>
      <c r="O57" s="3">
        <v>23.6252</v>
      </c>
      <c r="P57" s="3">
        <v>1</v>
      </c>
      <c r="Q57" s="3">
        <v>1</v>
      </c>
      <c r="R57" s="3">
        <v>1</v>
      </c>
      <c r="S57" s="3">
        <v>2025</v>
      </c>
      <c r="T57" s="5">
        <v>45658</v>
      </c>
    </row>
    <row r="58" spans="1:20" x14ac:dyDescent="0.3">
      <c r="A58" s="3">
        <v>26.750029999999999</v>
      </c>
      <c r="B58" s="3">
        <v>2</v>
      </c>
      <c r="C58" s="3">
        <v>6</v>
      </c>
      <c r="D58" s="3">
        <v>1</v>
      </c>
      <c r="E58" s="3">
        <v>2025</v>
      </c>
      <c r="F58" s="5">
        <v>45663</v>
      </c>
      <c r="G58"/>
      <c r="H58" s="3">
        <v>29.511547</v>
      </c>
      <c r="I58" s="3">
        <v>2</v>
      </c>
      <c r="J58" s="3">
        <v>6</v>
      </c>
      <c r="K58" s="3">
        <v>1</v>
      </c>
      <c r="L58" s="3">
        <v>2025</v>
      </c>
      <c r="M58" s="5">
        <v>45663</v>
      </c>
      <c r="O58" s="3">
        <v>23.988512</v>
      </c>
      <c r="P58" s="3">
        <v>2</v>
      </c>
      <c r="Q58" s="3">
        <v>6</v>
      </c>
      <c r="R58" s="3">
        <v>1</v>
      </c>
      <c r="S58" s="3">
        <v>2025</v>
      </c>
      <c r="T58" s="5">
        <v>45663</v>
      </c>
    </row>
    <row r="59" spans="1:20" x14ac:dyDescent="0.3">
      <c r="A59" s="3">
        <v>26.753682999999999</v>
      </c>
      <c r="B59" s="3">
        <v>3</v>
      </c>
      <c r="C59" s="3">
        <v>11</v>
      </c>
      <c r="D59" s="3">
        <v>1</v>
      </c>
      <c r="E59" s="3">
        <v>2025</v>
      </c>
      <c r="F59" s="5">
        <v>45668</v>
      </c>
      <c r="G59"/>
      <c r="H59" s="3">
        <v>29.778573999999999</v>
      </c>
      <c r="I59" s="3">
        <v>3</v>
      </c>
      <c r="J59" s="3">
        <v>11</v>
      </c>
      <c r="K59" s="3">
        <v>1</v>
      </c>
      <c r="L59" s="3">
        <v>2025</v>
      </c>
      <c r="M59" s="5">
        <v>45668</v>
      </c>
      <c r="O59" s="3">
        <v>23.72879</v>
      </c>
      <c r="P59" s="3">
        <v>3</v>
      </c>
      <c r="Q59" s="3">
        <v>11</v>
      </c>
      <c r="R59" s="3">
        <v>1</v>
      </c>
      <c r="S59" s="3">
        <v>2025</v>
      </c>
      <c r="T59" s="5">
        <v>45668</v>
      </c>
    </row>
    <row r="60" spans="1:20" x14ac:dyDescent="0.3">
      <c r="A60" s="3">
        <v>26.642465999999999</v>
      </c>
      <c r="B60" s="3">
        <v>4</v>
      </c>
      <c r="C60" s="3">
        <v>16</v>
      </c>
      <c r="D60" s="3">
        <v>1</v>
      </c>
      <c r="E60" s="3">
        <v>2025</v>
      </c>
      <c r="F60" s="5">
        <v>45673</v>
      </c>
      <c r="G60"/>
      <c r="H60" s="3">
        <v>29.765502999999999</v>
      </c>
      <c r="I60" s="3">
        <v>4</v>
      </c>
      <c r="J60" s="3">
        <v>16</v>
      </c>
      <c r="K60" s="3">
        <v>1</v>
      </c>
      <c r="L60" s="3">
        <v>2025</v>
      </c>
      <c r="M60" s="5">
        <v>45673</v>
      </c>
      <c r="O60" s="3">
        <v>23.519424000000001</v>
      </c>
      <c r="P60" s="3">
        <v>4</v>
      </c>
      <c r="Q60" s="3">
        <v>16</v>
      </c>
      <c r="R60" s="3">
        <v>1</v>
      </c>
      <c r="S60" s="3">
        <v>2025</v>
      </c>
      <c r="T60" s="5">
        <v>45673</v>
      </c>
    </row>
    <row r="61" spans="1:20" x14ac:dyDescent="0.3">
      <c r="A61" s="3">
        <v>26.99259</v>
      </c>
      <c r="B61" s="3">
        <v>5</v>
      </c>
      <c r="C61" s="3">
        <v>21</v>
      </c>
      <c r="D61" s="3">
        <v>1</v>
      </c>
      <c r="E61" s="3">
        <v>2025</v>
      </c>
      <c r="F61" s="5">
        <v>45678</v>
      </c>
      <c r="G61"/>
      <c r="H61" s="3">
        <v>30.326623999999999</v>
      </c>
      <c r="I61" s="3">
        <v>5</v>
      </c>
      <c r="J61" s="3">
        <v>21</v>
      </c>
      <c r="K61" s="3">
        <v>1</v>
      </c>
      <c r="L61" s="3">
        <v>2025</v>
      </c>
      <c r="M61" s="5">
        <v>45678</v>
      </c>
      <c r="O61" s="3">
        <v>23.658553999999999</v>
      </c>
      <c r="P61" s="3">
        <v>5</v>
      </c>
      <c r="Q61" s="3">
        <v>21</v>
      </c>
      <c r="R61" s="3">
        <v>1</v>
      </c>
      <c r="S61" s="3">
        <v>2025</v>
      </c>
      <c r="T61" s="5">
        <v>45678</v>
      </c>
    </row>
    <row r="62" spans="1:20" x14ac:dyDescent="0.3">
      <c r="A62" s="3">
        <v>27.090378000000001</v>
      </c>
      <c r="B62" s="3">
        <v>6</v>
      </c>
      <c r="C62" s="3">
        <v>26</v>
      </c>
      <c r="D62" s="3">
        <v>1</v>
      </c>
      <c r="E62" s="3">
        <v>2025</v>
      </c>
      <c r="F62" s="5">
        <v>45683</v>
      </c>
      <c r="G62"/>
      <c r="H62" s="3">
        <v>30.083663999999999</v>
      </c>
      <c r="I62" s="3">
        <v>6</v>
      </c>
      <c r="J62" s="3">
        <v>26</v>
      </c>
      <c r="K62" s="3">
        <v>1</v>
      </c>
      <c r="L62" s="3">
        <v>2025</v>
      </c>
      <c r="M62" s="5">
        <v>45683</v>
      </c>
      <c r="O62" s="3">
        <v>24.097094999999999</v>
      </c>
      <c r="P62" s="3">
        <v>6</v>
      </c>
      <c r="Q62" s="3">
        <v>26</v>
      </c>
      <c r="R62" s="3">
        <v>1</v>
      </c>
      <c r="S62" s="3">
        <v>2025</v>
      </c>
      <c r="T62" s="5">
        <v>45683</v>
      </c>
    </row>
    <row r="63" spans="1:20" x14ac:dyDescent="0.3">
      <c r="A63" s="3">
        <v>26.58699</v>
      </c>
      <c r="B63" s="3">
        <v>1</v>
      </c>
      <c r="C63" s="3">
        <v>1</v>
      </c>
      <c r="D63" s="3">
        <v>2</v>
      </c>
      <c r="E63" s="3">
        <v>2025</v>
      </c>
      <c r="F63" s="5">
        <v>45689</v>
      </c>
      <c r="G63"/>
      <c r="H63" s="3">
        <v>29.589020000000001</v>
      </c>
      <c r="I63" s="3">
        <v>1</v>
      </c>
      <c r="J63" s="3">
        <v>1</v>
      </c>
      <c r="K63" s="3">
        <v>2</v>
      </c>
      <c r="L63" s="3">
        <v>2025</v>
      </c>
      <c r="M63" s="5">
        <v>45689</v>
      </c>
      <c r="O63" s="3">
        <v>23.584955000000001</v>
      </c>
      <c r="P63" s="3">
        <v>1</v>
      </c>
      <c r="Q63" s="3">
        <v>1</v>
      </c>
      <c r="R63" s="3">
        <v>2</v>
      </c>
      <c r="S63" s="3">
        <v>2025</v>
      </c>
      <c r="T63" s="5">
        <v>45689</v>
      </c>
    </row>
    <row r="64" spans="1:20" x14ac:dyDescent="0.3">
      <c r="A64" s="3">
        <v>26.407167000000001</v>
      </c>
      <c r="B64" s="3">
        <v>2</v>
      </c>
      <c r="C64" s="3">
        <v>6</v>
      </c>
      <c r="D64" s="3">
        <v>2</v>
      </c>
      <c r="E64" s="3">
        <v>2025</v>
      </c>
      <c r="F64" s="5">
        <v>45694</v>
      </c>
      <c r="G64"/>
      <c r="H64" s="3">
        <v>29.583559999999999</v>
      </c>
      <c r="I64" s="3">
        <v>2</v>
      </c>
      <c r="J64" s="3">
        <v>6</v>
      </c>
      <c r="K64" s="3">
        <v>2</v>
      </c>
      <c r="L64" s="3">
        <v>2025</v>
      </c>
      <c r="M64" s="5">
        <v>45694</v>
      </c>
      <c r="O64" s="3">
        <v>23.230772000000002</v>
      </c>
      <c r="P64" s="3">
        <v>2</v>
      </c>
      <c r="Q64" s="3">
        <v>6</v>
      </c>
      <c r="R64" s="3">
        <v>2</v>
      </c>
      <c r="S64" s="3">
        <v>2025</v>
      </c>
      <c r="T64" s="5">
        <v>45694</v>
      </c>
    </row>
    <row r="65" spans="1:20" x14ac:dyDescent="0.3">
      <c r="A65" s="3">
        <v>26.417760000000001</v>
      </c>
      <c r="B65" s="3">
        <v>3</v>
      </c>
      <c r="C65" s="3">
        <v>11</v>
      </c>
      <c r="D65" s="3">
        <v>2</v>
      </c>
      <c r="E65" s="3">
        <v>2025</v>
      </c>
      <c r="F65" s="5">
        <v>45699</v>
      </c>
      <c r="G65"/>
      <c r="H65" s="3">
        <v>29.585795999999998</v>
      </c>
      <c r="I65" s="3">
        <v>3</v>
      </c>
      <c r="J65" s="3">
        <v>11</v>
      </c>
      <c r="K65" s="3">
        <v>2</v>
      </c>
      <c r="L65" s="3">
        <v>2025</v>
      </c>
      <c r="M65" s="5">
        <v>45699</v>
      </c>
      <c r="O65" s="3">
        <v>23.249721999999998</v>
      </c>
      <c r="P65" s="3">
        <v>3</v>
      </c>
      <c r="Q65" s="3">
        <v>11</v>
      </c>
      <c r="R65" s="3">
        <v>2</v>
      </c>
      <c r="S65" s="3">
        <v>2025</v>
      </c>
      <c r="T65" s="5">
        <v>45699</v>
      </c>
    </row>
    <row r="66" spans="1:20" x14ac:dyDescent="0.3">
      <c r="A66" s="3">
        <v>26.241223999999999</v>
      </c>
      <c r="B66" s="3">
        <v>4</v>
      </c>
      <c r="C66" s="3">
        <v>16</v>
      </c>
      <c r="D66" s="3">
        <v>2</v>
      </c>
      <c r="E66" s="3">
        <v>2025</v>
      </c>
      <c r="F66" s="5">
        <v>45704</v>
      </c>
      <c r="G66"/>
      <c r="H66" s="3">
        <v>29.099266</v>
      </c>
      <c r="I66" s="3">
        <v>4</v>
      </c>
      <c r="J66" s="3">
        <v>16</v>
      </c>
      <c r="K66" s="3">
        <v>2</v>
      </c>
      <c r="L66" s="3">
        <v>2025</v>
      </c>
      <c r="M66" s="5">
        <v>45704</v>
      </c>
      <c r="O66" s="3">
        <v>23.383179999999999</v>
      </c>
      <c r="P66" s="3">
        <v>4</v>
      </c>
      <c r="Q66" s="3">
        <v>16</v>
      </c>
      <c r="R66" s="3">
        <v>2</v>
      </c>
      <c r="S66" s="3">
        <v>2025</v>
      </c>
      <c r="T66" s="5">
        <v>45704</v>
      </c>
    </row>
    <row r="67" spans="1:20" x14ac:dyDescent="0.3">
      <c r="A67" s="3">
        <v>26.586818999999998</v>
      </c>
      <c r="B67" s="3">
        <v>5</v>
      </c>
      <c r="C67" s="3">
        <v>21</v>
      </c>
      <c r="D67" s="3">
        <v>2</v>
      </c>
      <c r="E67" s="3">
        <v>2025</v>
      </c>
      <c r="F67" s="5">
        <v>45709</v>
      </c>
      <c r="G67"/>
      <c r="H67" s="3">
        <v>29.749199000000001</v>
      </c>
      <c r="I67" s="3">
        <v>5</v>
      </c>
      <c r="J67" s="3">
        <v>21</v>
      </c>
      <c r="K67" s="3">
        <v>2</v>
      </c>
      <c r="L67" s="3">
        <v>2025</v>
      </c>
      <c r="M67" s="5">
        <v>45709</v>
      </c>
      <c r="O67" s="3">
        <v>23.424440000000001</v>
      </c>
      <c r="P67" s="3">
        <v>5</v>
      </c>
      <c r="Q67" s="3">
        <v>21</v>
      </c>
      <c r="R67" s="3">
        <v>2</v>
      </c>
      <c r="S67" s="3">
        <v>2025</v>
      </c>
      <c r="T67" s="5">
        <v>45709</v>
      </c>
    </row>
    <row r="68" spans="1:20" x14ac:dyDescent="0.3">
      <c r="A68" s="3">
        <v>26.811584</v>
      </c>
      <c r="B68" s="3">
        <v>6</v>
      </c>
      <c r="C68" s="3">
        <v>26</v>
      </c>
      <c r="D68" s="3">
        <v>2</v>
      </c>
      <c r="E68" s="3">
        <v>2025</v>
      </c>
      <c r="F68" s="5">
        <v>45714</v>
      </c>
      <c r="G68"/>
      <c r="H68" s="3">
        <v>29.928360000000001</v>
      </c>
      <c r="I68" s="3">
        <v>6</v>
      </c>
      <c r="J68" s="3">
        <v>26</v>
      </c>
      <c r="K68" s="3">
        <v>2</v>
      </c>
      <c r="L68" s="3">
        <v>2025</v>
      </c>
      <c r="M68" s="5">
        <v>45714</v>
      </c>
      <c r="O68" s="3">
        <v>23.69481</v>
      </c>
      <c r="P68" s="3">
        <v>6</v>
      </c>
      <c r="Q68" s="3">
        <v>26</v>
      </c>
      <c r="R68" s="3">
        <v>2</v>
      </c>
      <c r="S68" s="3">
        <v>2025</v>
      </c>
      <c r="T68" s="5">
        <v>45714</v>
      </c>
    </row>
    <row r="69" spans="1:20" x14ac:dyDescent="0.3">
      <c r="A69" s="3">
        <v>26.427879999999998</v>
      </c>
      <c r="B69" s="3">
        <v>1</v>
      </c>
      <c r="C69" s="3">
        <v>1</v>
      </c>
      <c r="D69" s="3">
        <v>3</v>
      </c>
      <c r="E69" s="3">
        <v>2025</v>
      </c>
      <c r="F69" s="5">
        <v>45717</v>
      </c>
      <c r="G69"/>
      <c r="H69" s="3">
        <v>29.521412000000002</v>
      </c>
      <c r="I69" s="3">
        <v>1</v>
      </c>
      <c r="J69" s="3">
        <v>1</v>
      </c>
      <c r="K69" s="3">
        <v>3</v>
      </c>
      <c r="L69" s="3">
        <v>2025</v>
      </c>
      <c r="M69" s="5">
        <v>45717</v>
      </c>
      <c r="O69" s="3">
        <v>23.334340999999998</v>
      </c>
      <c r="P69" s="3">
        <v>1</v>
      </c>
      <c r="Q69" s="3">
        <v>1</v>
      </c>
      <c r="R69" s="3">
        <v>3</v>
      </c>
      <c r="S69" s="3">
        <v>2025</v>
      </c>
      <c r="T69" s="5">
        <v>45717</v>
      </c>
    </row>
    <row r="70" spans="1:20" x14ac:dyDescent="0.3">
      <c r="A70" s="3">
        <v>26.622313999999999</v>
      </c>
      <c r="B70" s="3">
        <v>2</v>
      </c>
      <c r="C70" s="3">
        <v>6</v>
      </c>
      <c r="D70" s="3">
        <v>3</v>
      </c>
      <c r="E70" s="3">
        <v>2025</v>
      </c>
      <c r="F70" s="5">
        <v>45722</v>
      </c>
      <c r="G70"/>
      <c r="H70" s="3">
        <v>29.787827</v>
      </c>
      <c r="I70" s="3">
        <v>2</v>
      </c>
      <c r="J70" s="3">
        <v>6</v>
      </c>
      <c r="K70" s="3">
        <v>3</v>
      </c>
      <c r="L70" s="3">
        <v>2025</v>
      </c>
      <c r="M70" s="5">
        <v>45722</v>
      </c>
      <c r="O70" s="3">
        <v>23.456800000000001</v>
      </c>
      <c r="P70" s="3">
        <v>2</v>
      </c>
      <c r="Q70" s="3">
        <v>6</v>
      </c>
      <c r="R70" s="3">
        <v>3</v>
      </c>
      <c r="S70" s="3">
        <v>2025</v>
      </c>
      <c r="T70" s="5">
        <v>45722</v>
      </c>
    </row>
    <row r="71" spans="1:20" x14ac:dyDescent="0.3">
      <c r="A71" s="3">
        <v>26.680741999999999</v>
      </c>
      <c r="B71" s="3">
        <v>3</v>
      </c>
      <c r="C71" s="3">
        <v>11</v>
      </c>
      <c r="D71" s="3">
        <v>3</v>
      </c>
      <c r="E71" s="3">
        <v>2025</v>
      </c>
      <c r="F71" s="5">
        <v>45727</v>
      </c>
      <c r="G71"/>
      <c r="H71" s="3">
        <v>29.773084999999998</v>
      </c>
      <c r="I71" s="3">
        <v>3</v>
      </c>
      <c r="J71" s="3">
        <v>11</v>
      </c>
      <c r="K71" s="3">
        <v>3</v>
      </c>
      <c r="L71" s="3">
        <v>2025</v>
      </c>
      <c r="M71" s="5">
        <v>45727</v>
      </c>
      <c r="O71" s="3">
        <v>23.588401999999999</v>
      </c>
      <c r="P71" s="3">
        <v>3</v>
      </c>
      <c r="Q71" s="3">
        <v>11</v>
      </c>
      <c r="R71" s="3">
        <v>3</v>
      </c>
      <c r="S71" s="3">
        <v>2025</v>
      </c>
      <c r="T71" s="5">
        <v>45727</v>
      </c>
    </row>
    <row r="72" spans="1:20" x14ac:dyDescent="0.3">
      <c r="A72" s="3">
        <v>26.96753</v>
      </c>
      <c r="B72" s="3">
        <v>4</v>
      </c>
      <c r="C72" s="3">
        <v>16</v>
      </c>
      <c r="D72" s="3">
        <v>3</v>
      </c>
      <c r="E72" s="3">
        <v>2025</v>
      </c>
      <c r="F72" s="5">
        <v>45732</v>
      </c>
      <c r="G72"/>
      <c r="H72" s="3">
        <v>29.894531000000001</v>
      </c>
      <c r="I72" s="3">
        <v>4</v>
      </c>
      <c r="J72" s="3">
        <v>16</v>
      </c>
      <c r="K72" s="3">
        <v>3</v>
      </c>
      <c r="L72" s="3">
        <v>2025</v>
      </c>
      <c r="M72" s="5">
        <v>45732</v>
      </c>
      <c r="O72" s="3">
        <v>24.040517999999999</v>
      </c>
      <c r="P72" s="3">
        <v>4</v>
      </c>
      <c r="Q72" s="3">
        <v>16</v>
      </c>
      <c r="R72" s="3">
        <v>3</v>
      </c>
      <c r="S72" s="3">
        <v>2025</v>
      </c>
      <c r="T72" s="5">
        <v>45732</v>
      </c>
    </row>
    <row r="73" spans="1:20" x14ac:dyDescent="0.3">
      <c r="A73" s="3">
        <v>27.494077999999998</v>
      </c>
      <c r="B73" s="3">
        <v>5</v>
      </c>
      <c r="C73" s="3">
        <v>21</v>
      </c>
      <c r="D73" s="3">
        <v>3</v>
      </c>
      <c r="E73" s="3">
        <v>2025</v>
      </c>
      <c r="F73" s="5">
        <v>45737</v>
      </c>
      <c r="G73"/>
      <c r="H73" s="3">
        <v>30.279523999999999</v>
      </c>
      <c r="I73" s="3">
        <v>5</v>
      </c>
      <c r="J73" s="3">
        <v>21</v>
      </c>
      <c r="K73" s="3">
        <v>3</v>
      </c>
      <c r="L73" s="3">
        <v>2025</v>
      </c>
      <c r="M73" s="5">
        <v>45737</v>
      </c>
      <c r="O73" s="3">
        <v>24.708632000000001</v>
      </c>
      <c r="P73" s="3">
        <v>5</v>
      </c>
      <c r="Q73" s="3">
        <v>21</v>
      </c>
      <c r="R73" s="3">
        <v>3</v>
      </c>
      <c r="S73" s="3">
        <v>2025</v>
      </c>
      <c r="T73" s="5">
        <v>45737</v>
      </c>
    </row>
    <row r="74" spans="1:20" x14ac:dyDescent="0.3">
      <c r="A74" s="3">
        <v>26.908836000000001</v>
      </c>
      <c r="B74" s="3">
        <v>6</v>
      </c>
      <c r="C74" s="3">
        <v>26</v>
      </c>
      <c r="D74" s="3">
        <v>3</v>
      </c>
      <c r="E74" s="3">
        <v>2025</v>
      </c>
      <c r="F74" s="5">
        <v>45742</v>
      </c>
      <c r="G74"/>
      <c r="H74" s="3">
        <v>29.615808000000001</v>
      </c>
      <c r="I74" s="3">
        <v>6</v>
      </c>
      <c r="J74" s="3">
        <v>26</v>
      </c>
      <c r="K74" s="3">
        <v>3</v>
      </c>
      <c r="L74" s="3">
        <v>2025</v>
      </c>
      <c r="M74" s="5">
        <v>45742</v>
      </c>
      <c r="O74" s="3">
        <v>24.201861999999998</v>
      </c>
      <c r="P74" s="3">
        <v>6</v>
      </c>
      <c r="Q74" s="3">
        <v>26</v>
      </c>
      <c r="R74" s="3">
        <v>3</v>
      </c>
      <c r="S74" s="3">
        <v>2025</v>
      </c>
      <c r="T74" s="5">
        <v>45742</v>
      </c>
    </row>
    <row r="75" spans="1:20" x14ac:dyDescent="0.3">
      <c r="A75" s="3">
        <v>27.157450000000001</v>
      </c>
      <c r="B75" s="3">
        <v>2</v>
      </c>
      <c r="C75" s="3">
        <v>6</v>
      </c>
      <c r="D75" s="3">
        <v>4</v>
      </c>
      <c r="E75" s="3">
        <v>2025</v>
      </c>
      <c r="F75" s="5">
        <v>45753</v>
      </c>
      <c r="G75"/>
      <c r="H75" s="3">
        <v>30.093689000000001</v>
      </c>
      <c r="I75" s="3">
        <v>2</v>
      </c>
      <c r="J75" s="3">
        <v>6</v>
      </c>
      <c r="K75" s="3">
        <v>4</v>
      </c>
      <c r="L75" s="3">
        <v>2025</v>
      </c>
      <c r="M75" s="5">
        <v>45753</v>
      </c>
      <c r="O75" s="3">
        <v>24.221209000000002</v>
      </c>
      <c r="P75" s="3">
        <v>2</v>
      </c>
      <c r="Q75" s="3">
        <v>6</v>
      </c>
      <c r="R75" s="3">
        <v>4</v>
      </c>
      <c r="S75" s="3">
        <v>2025</v>
      </c>
      <c r="T75" s="5">
        <v>45753</v>
      </c>
    </row>
    <row r="76" spans="1:20" x14ac:dyDescent="0.3">
      <c r="A76" s="3">
        <v>27.038278999999999</v>
      </c>
      <c r="B76" s="3">
        <v>3</v>
      </c>
      <c r="C76" s="3">
        <v>11</v>
      </c>
      <c r="D76" s="3">
        <v>4</v>
      </c>
      <c r="E76" s="3">
        <v>2025</v>
      </c>
      <c r="F76" s="5">
        <v>45758</v>
      </c>
      <c r="G76"/>
      <c r="H76" s="3">
        <v>29.487514000000001</v>
      </c>
      <c r="I76" s="3">
        <v>3</v>
      </c>
      <c r="J76" s="3">
        <v>11</v>
      </c>
      <c r="K76" s="3">
        <v>4</v>
      </c>
      <c r="L76" s="3">
        <v>2025</v>
      </c>
      <c r="M76" s="5">
        <v>45758</v>
      </c>
      <c r="O76" s="3">
        <v>24.589047999999998</v>
      </c>
      <c r="P76" s="3">
        <v>3</v>
      </c>
      <c r="Q76" s="3">
        <v>11</v>
      </c>
      <c r="R76" s="3">
        <v>4</v>
      </c>
      <c r="S76" s="3">
        <v>2025</v>
      </c>
      <c r="T76" s="5">
        <v>45758</v>
      </c>
    </row>
    <row r="77" spans="1:20" x14ac:dyDescent="0.3">
      <c r="A77" s="3">
        <v>27.479137000000001</v>
      </c>
      <c r="B77" s="3">
        <v>4</v>
      </c>
      <c r="C77" s="3">
        <v>16</v>
      </c>
      <c r="D77" s="3">
        <v>4</v>
      </c>
      <c r="E77" s="3">
        <v>2025</v>
      </c>
      <c r="F77" s="5">
        <v>45763</v>
      </c>
      <c r="G77"/>
      <c r="H77" s="3">
        <v>30.10153</v>
      </c>
      <c r="I77" s="3">
        <v>4</v>
      </c>
      <c r="J77" s="3">
        <v>16</v>
      </c>
      <c r="K77" s="3">
        <v>4</v>
      </c>
      <c r="L77" s="3">
        <v>2025</v>
      </c>
      <c r="M77" s="5">
        <v>45763</v>
      </c>
      <c r="O77" s="3">
        <v>24.856749000000001</v>
      </c>
      <c r="P77" s="3">
        <v>4</v>
      </c>
      <c r="Q77" s="3">
        <v>16</v>
      </c>
      <c r="R77" s="3">
        <v>4</v>
      </c>
      <c r="S77" s="3">
        <v>2025</v>
      </c>
      <c r="T77" s="5">
        <v>45763</v>
      </c>
    </row>
    <row r="78" spans="1:20" x14ac:dyDescent="0.3">
      <c r="A78" s="3">
        <v>26.856059999999999</v>
      </c>
      <c r="B78" s="3">
        <v>5</v>
      </c>
      <c r="C78" s="3">
        <v>21</v>
      </c>
      <c r="D78" s="3">
        <v>4</v>
      </c>
      <c r="E78" s="3">
        <v>2025</v>
      </c>
      <c r="F78" s="5">
        <v>45768</v>
      </c>
      <c r="G78"/>
      <c r="H78" s="3">
        <v>29.619015000000001</v>
      </c>
      <c r="I78" s="3">
        <v>5</v>
      </c>
      <c r="J78" s="3">
        <v>21</v>
      </c>
      <c r="K78" s="3">
        <v>4</v>
      </c>
      <c r="L78" s="3">
        <v>2025</v>
      </c>
      <c r="M78" s="5">
        <v>45768</v>
      </c>
      <c r="O78" s="3">
        <v>24.093111</v>
      </c>
      <c r="P78" s="3">
        <v>5</v>
      </c>
      <c r="Q78" s="3">
        <v>21</v>
      </c>
      <c r="R78" s="3">
        <v>4</v>
      </c>
      <c r="S78" s="3">
        <v>2025</v>
      </c>
      <c r="T78" s="5">
        <v>45768</v>
      </c>
    </row>
    <row r="79" spans="1:20" x14ac:dyDescent="0.3">
      <c r="A79" s="3">
        <v>26.622053000000001</v>
      </c>
      <c r="B79" s="3">
        <v>6</v>
      </c>
      <c r="C79" s="3">
        <v>26</v>
      </c>
      <c r="D79" s="3">
        <v>4</v>
      </c>
      <c r="E79" s="3">
        <v>2025</v>
      </c>
      <c r="F79" s="5">
        <v>45773</v>
      </c>
      <c r="G79"/>
      <c r="H79" s="3">
        <v>28.969746000000001</v>
      </c>
      <c r="I79" s="3">
        <v>6</v>
      </c>
      <c r="J79" s="3">
        <v>26</v>
      </c>
      <c r="K79" s="3">
        <v>4</v>
      </c>
      <c r="L79" s="3">
        <v>2025</v>
      </c>
      <c r="M79" s="5">
        <v>45773</v>
      </c>
      <c r="O79" s="3">
        <v>24.274359</v>
      </c>
      <c r="P79" s="3">
        <v>6</v>
      </c>
      <c r="Q79" s="3">
        <v>26</v>
      </c>
      <c r="R79" s="3">
        <v>4</v>
      </c>
      <c r="S79" s="3">
        <v>2025</v>
      </c>
      <c r="T79" s="5">
        <v>45773</v>
      </c>
    </row>
    <row r="80" spans="1:20" x14ac:dyDescent="0.3">
      <c r="A80" s="3">
        <v>26.293161000000001</v>
      </c>
      <c r="B80" s="3">
        <v>1</v>
      </c>
      <c r="C80" s="3">
        <v>1</v>
      </c>
      <c r="D80" s="3">
        <v>5</v>
      </c>
      <c r="E80" s="3">
        <v>2025</v>
      </c>
      <c r="F80" s="5">
        <v>45778</v>
      </c>
      <c r="G80"/>
      <c r="H80" s="3">
        <v>28.73235</v>
      </c>
      <c r="I80" s="3">
        <v>1</v>
      </c>
      <c r="J80" s="3">
        <v>1</v>
      </c>
      <c r="K80" s="3">
        <v>5</v>
      </c>
      <c r="L80" s="3">
        <v>2025</v>
      </c>
      <c r="M80" s="5">
        <v>45778</v>
      </c>
      <c r="O80" s="3">
        <v>23.853971000000001</v>
      </c>
      <c r="P80" s="3">
        <v>1</v>
      </c>
      <c r="Q80" s="3">
        <v>1</v>
      </c>
      <c r="R80" s="3">
        <v>5</v>
      </c>
      <c r="S80" s="3">
        <v>2025</v>
      </c>
      <c r="T80" s="5">
        <v>45778</v>
      </c>
    </row>
    <row r="81" spans="1:20" x14ac:dyDescent="0.3">
      <c r="A81" s="3">
        <v>26.388817</v>
      </c>
      <c r="B81" s="3">
        <v>2</v>
      </c>
      <c r="C81" s="3">
        <v>6</v>
      </c>
      <c r="D81" s="3">
        <v>5</v>
      </c>
      <c r="E81" s="3">
        <v>2025</v>
      </c>
      <c r="F81" s="5">
        <v>45783</v>
      </c>
      <c r="G81"/>
      <c r="H81" s="3">
        <v>28.964565</v>
      </c>
      <c r="I81" s="3">
        <v>2</v>
      </c>
      <c r="J81" s="3">
        <v>6</v>
      </c>
      <c r="K81" s="3">
        <v>5</v>
      </c>
      <c r="L81" s="3">
        <v>2025</v>
      </c>
      <c r="M81" s="5">
        <v>45783</v>
      </c>
      <c r="O81" s="3">
        <v>23.813065999999999</v>
      </c>
      <c r="P81" s="3">
        <v>2</v>
      </c>
      <c r="Q81" s="3">
        <v>6</v>
      </c>
      <c r="R81" s="3">
        <v>5</v>
      </c>
      <c r="S81" s="3">
        <v>2025</v>
      </c>
      <c r="T81" s="5">
        <v>45783</v>
      </c>
    </row>
    <row r="82" spans="1:20" x14ac:dyDescent="0.3">
      <c r="A82" s="3">
        <v>26.852879000000001</v>
      </c>
      <c r="B82" s="3">
        <v>3</v>
      </c>
      <c r="C82" s="3">
        <v>11</v>
      </c>
      <c r="D82" s="3">
        <v>5</v>
      </c>
      <c r="E82" s="3">
        <v>2025</v>
      </c>
      <c r="F82" s="5">
        <v>45788</v>
      </c>
      <c r="G82"/>
      <c r="H82" s="3">
        <v>29.117653000000001</v>
      </c>
      <c r="I82" s="3">
        <v>3</v>
      </c>
      <c r="J82" s="3">
        <v>11</v>
      </c>
      <c r="K82" s="3">
        <v>5</v>
      </c>
      <c r="L82" s="3">
        <v>2025</v>
      </c>
      <c r="M82" s="5">
        <v>45788</v>
      </c>
      <c r="O82" s="3">
        <v>24.588106</v>
      </c>
      <c r="P82" s="3">
        <v>3</v>
      </c>
      <c r="Q82" s="3">
        <v>11</v>
      </c>
      <c r="R82" s="3">
        <v>5</v>
      </c>
      <c r="S82" s="3">
        <v>2025</v>
      </c>
      <c r="T82" s="5">
        <v>45788</v>
      </c>
    </row>
    <row r="83" spans="1:20" x14ac:dyDescent="0.3">
      <c r="A83" s="3">
        <v>26.295918</v>
      </c>
      <c r="B83" s="3">
        <v>4</v>
      </c>
      <c r="C83" s="3">
        <v>16</v>
      </c>
      <c r="D83" s="3">
        <v>5</v>
      </c>
      <c r="E83" s="3">
        <v>2025</v>
      </c>
      <c r="F83" s="5">
        <v>45793</v>
      </c>
      <c r="G83"/>
      <c r="H83" s="3">
        <v>28.86017</v>
      </c>
      <c r="I83" s="3">
        <v>4</v>
      </c>
      <c r="J83" s="3">
        <v>16</v>
      </c>
      <c r="K83" s="3">
        <v>5</v>
      </c>
      <c r="L83" s="3">
        <v>2025</v>
      </c>
      <c r="M83" s="5">
        <v>45793</v>
      </c>
      <c r="O83" s="3">
        <v>23.731665</v>
      </c>
      <c r="P83" s="3">
        <v>4</v>
      </c>
      <c r="Q83" s="3">
        <v>16</v>
      </c>
      <c r="R83" s="3">
        <v>5</v>
      </c>
      <c r="S83" s="3">
        <v>2025</v>
      </c>
      <c r="T83" s="5">
        <v>45793</v>
      </c>
    </row>
    <row r="84" spans="1:20" x14ac:dyDescent="0.3">
      <c r="A84" s="3">
        <v>27.120778999999999</v>
      </c>
      <c r="B84" s="3">
        <v>5</v>
      </c>
      <c r="C84" s="3">
        <v>21</v>
      </c>
      <c r="D84" s="3">
        <v>5</v>
      </c>
      <c r="E84" s="3">
        <v>2025</v>
      </c>
      <c r="F84" s="5">
        <v>45798</v>
      </c>
      <c r="G84"/>
      <c r="H84" s="3">
        <v>29.885062999999999</v>
      </c>
      <c r="I84" s="3">
        <v>5</v>
      </c>
      <c r="J84" s="3">
        <v>21</v>
      </c>
      <c r="K84" s="3">
        <v>5</v>
      </c>
      <c r="L84" s="3">
        <v>2025</v>
      </c>
      <c r="M84" s="5">
        <v>45798</v>
      </c>
      <c r="O84" s="3">
        <v>24.356497000000001</v>
      </c>
      <c r="P84" s="3">
        <v>5</v>
      </c>
      <c r="Q84" s="3">
        <v>21</v>
      </c>
      <c r="R84" s="3">
        <v>5</v>
      </c>
      <c r="S84" s="3">
        <v>2025</v>
      </c>
      <c r="T84" s="5">
        <v>45798</v>
      </c>
    </row>
    <row r="85" spans="1:20" x14ac:dyDescent="0.3">
      <c r="A85" s="3">
        <v>26.892976999999998</v>
      </c>
      <c r="B85" s="3">
        <v>6</v>
      </c>
      <c r="C85" s="3">
        <v>26</v>
      </c>
      <c r="D85" s="3">
        <v>5</v>
      </c>
      <c r="E85" s="3">
        <v>2025</v>
      </c>
      <c r="F85" s="5">
        <v>45803</v>
      </c>
      <c r="G85"/>
      <c r="H85" s="3">
        <v>29.374924</v>
      </c>
      <c r="I85" s="3">
        <v>6</v>
      </c>
      <c r="J85" s="3">
        <v>26</v>
      </c>
      <c r="K85" s="3">
        <v>5</v>
      </c>
      <c r="L85" s="3">
        <v>2025</v>
      </c>
      <c r="M85" s="5">
        <v>45803</v>
      </c>
      <c r="O85" s="3">
        <v>24.411035999999999</v>
      </c>
      <c r="P85" s="3">
        <v>6</v>
      </c>
      <c r="Q85" s="3">
        <v>26</v>
      </c>
      <c r="R85" s="3">
        <v>5</v>
      </c>
      <c r="S85" s="3">
        <v>2025</v>
      </c>
      <c r="T85" s="5">
        <v>45803</v>
      </c>
    </row>
    <row r="86" spans="1:20" x14ac:dyDescent="0.3">
      <c r="A86" s="3">
        <v>26.489563</v>
      </c>
      <c r="B86" s="3">
        <v>1</v>
      </c>
      <c r="C86" s="3">
        <v>1</v>
      </c>
      <c r="D86" s="3">
        <v>6</v>
      </c>
      <c r="E86" s="3">
        <v>2025</v>
      </c>
      <c r="F86" s="5">
        <v>45809</v>
      </c>
      <c r="G86"/>
      <c r="H86" s="3">
        <v>28.944835999999999</v>
      </c>
      <c r="I86" s="3">
        <v>1</v>
      </c>
      <c r="J86" s="3">
        <v>1</v>
      </c>
      <c r="K86" s="3">
        <v>6</v>
      </c>
      <c r="L86" s="3">
        <v>2025</v>
      </c>
      <c r="M86" s="5">
        <v>45809</v>
      </c>
      <c r="O86" s="3">
        <v>24.034292000000001</v>
      </c>
      <c r="P86" s="3">
        <v>1</v>
      </c>
      <c r="Q86" s="3">
        <v>1</v>
      </c>
      <c r="R86" s="3">
        <v>6</v>
      </c>
      <c r="S86" s="3">
        <v>2025</v>
      </c>
      <c r="T86" s="5">
        <v>45809</v>
      </c>
    </row>
    <row r="87" spans="1:20" x14ac:dyDescent="0.3">
      <c r="A87" s="3">
        <v>26.766613</v>
      </c>
      <c r="B87" s="3">
        <v>2</v>
      </c>
      <c r="C87" s="3">
        <v>6</v>
      </c>
      <c r="D87" s="3">
        <v>6</v>
      </c>
      <c r="E87" s="3">
        <v>2025</v>
      </c>
      <c r="F87" s="5">
        <v>45814</v>
      </c>
      <c r="G87"/>
      <c r="H87" s="3">
        <v>29.303754999999999</v>
      </c>
      <c r="I87" s="3">
        <v>2</v>
      </c>
      <c r="J87" s="3">
        <v>6</v>
      </c>
      <c r="K87" s="3">
        <v>6</v>
      </c>
      <c r="L87" s="3">
        <v>2025</v>
      </c>
      <c r="M87" s="5">
        <v>45814</v>
      </c>
      <c r="O87" s="3">
        <v>24.229471</v>
      </c>
      <c r="P87" s="3">
        <v>2</v>
      </c>
      <c r="Q87" s="3">
        <v>6</v>
      </c>
      <c r="R87" s="3">
        <v>6</v>
      </c>
      <c r="S87" s="3">
        <v>2025</v>
      </c>
      <c r="T87" s="5">
        <v>45814</v>
      </c>
    </row>
    <row r="88" spans="1:20" x14ac:dyDescent="0.3">
      <c r="A88" s="3">
        <v>26.283944999999999</v>
      </c>
      <c r="B88" s="3">
        <v>3</v>
      </c>
      <c r="C88" s="3">
        <v>11</v>
      </c>
      <c r="D88" s="3">
        <v>6</v>
      </c>
      <c r="E88" s="3">
        <v>2025</v>
      </c>
      <c r="F88" s="5">
        <v>45819</v>
      </c>
      <c r="G88"/>
      <c r="H88" s="3">
        <v>28.704640000000001</v>
      </c>
      <c r="I88" s="3">
        <v>3</v>
      </c>
      <c r="J88" s="3">
        <v>11</v>
      </c>
      <c r="K88" s="3">
        <v>6</v>
      </c>
      <c r="L88" s="3">
        <v>2025</v>
      </c>
      <c r="M88" s="5">
        <v>45819</v>
      </c>
      <c r="O88" s="3">
        <v>23.863247000000001</v>
      </c>
      <c r="P88" s="3">
        <v>3</v>
      </c>
      <c r="Q88" s="3">
        <v>11</v>
      </c>
      <c r="R88" s="3">
        <v>6</v>
      </c>
      <c r="S88" s="3">
        <v>2025</v>
      </c>
      <c r="T88" s="5">
        <v>45819</v>
      </c>
    </row>
    <row r="89" spans="1:20" x14ac:dyDescent="0.3">
      <c r="A89" s="3">
        <v>27.004396</v>
      </c>
      <c r="B89" s="3">
        <v>4</v>
      </c>
      <c r="C89" s="3">
        <v>16</v>
      </c>
      <c r="D89" s="3">
        <v>6</v>
      </c>
      <c r="E89" s="3">
        <v>2025</v>
      </c>
      <c r="F89" s="5">
        <v>45824</v>
      </c>
      <c r="G89"/>
      <c r="H89" s="3">
        <v>29.610685</v>
      </c>
      <c r="I89" s="3">
        <v>4</v>
      </c>
      <c r="J89" s="3">
        <v>16</v>
      </c>
      <c r="K89" s="3">
        <v>6</v>
      </c>
      <c r="L89" s="3">
        <v>2025</v>
      </c>
      <c r="M89" s="5">
        <v>45824</v>
      </c>
      <c r="O89" s="3">
        <v>24.398105999999999</v>
      </c>
      <c r="P89" s="3">
        <v>4</v>
      </c>
      <c r="Q89" s="3">
        <v>16</v>
      </c>
      <c r="R89" s="3">
        <v>6</v>
      </c>
      <c r="S89" s="3">
        <v>2025</v>
      </c>
      <c r="T89" s="5">
        <v>45824</v>
      </c>
    </row>
    <row r="90" spans="1:20" x14ac:dyDescent="0.3">
      <c r="A90" s="3">
        <v>26.409573000000002</v>
      </c>
      <c r="B90" s="3">
        <v>5</v>
      </c>
      <c r="C90" s="3">
        <v>21</v>
      </c>
      <c r="D90" s="3">
        <v>6</v>
      </c>
      <c r="E90" s="3">
        <v>2025</v>
      </c>
      <c r="F90" s="5">
        <v>45829</v>
      </c>
      <c r="G90"/>
      <c r="H90" s="3">
        <v>28.742750000000001</v>
      </c>
      <c r="I90" s="3">
        <v>5</v>
      </c>
      <c r="J90" s="3">
        <v>21</v>
      </c>
      <c r="K90" s="3">
        <v>6</v>
      </c>
      <c r="L90" s="3">
        <v>2025</v>
      </c>
      <c r="M90" s="5">
        <v>45829</v>
      </c>
      <c r="O90" s="3">
        <v>24.076395000000002</v>
      </c>
      <c r="P90" s="3">
        <v>5</v>
      </c>
      <c r="Q90" s="3">
        <v>21</v>
      </c>
      <c r="R90" s="3">
        <v>6</v>
      </c>
      <c r="S90" s="3">
        <v>2025</v>
      </c>
      <c r="T90" s="5">
        <v>45829</v>
      </c>
    </row>
    <row r="91" spans="1:20" x14ac:dyDescent="0.3">
      <c r="A91" s="3">
        <v>26.706703000000001</v>
      </c>
      <c r="B91" s="3">
        <v>6</v>
      </c>
      <c r="C91" s="3">
        <v>26</v>
      </c>
      <c r="D91" s="3">
        <v>6</v>
      </c>
      <c r="E91" s="3">
        <v>2025</v>
      </c>
      <c r="F91" s="5">
        <v>45834</v>
      </c>
      <c r="G91"/>
      <c r="H91" s="3">
        <v>29.343782000000001</v>
      </c>
      <c r="I91" s="3">
        <v>6</v>
      </c>
      <c r="J91" s="3">
        <v>26</v>
      </c>
      <c r="K91" s="3">
        <v>6</v>
      </c>
      <c r="L91" s="3">
        <v>2025</v>
      </c>
      <c r="M91" s="5">
        <v>45834</v>
      </c>
      <c r="O91" s="3">
        <v>24.069628000000002</v>
      </c>
      <c r="P91" s="3">
        <v>6</v>
      </c>
      <c r="Q91" s="3">
        <v>26</v>
      </c>
      <c r="R91" s="3">
        <v>6</v>
      </c>
      <c r="S91" s="3">
        <v>2025</v>
      </c>
      <c r="T91" s="5">
        <v>45834</v>
      </c>
    </row>
    <row r="92" spans="1:20" x14ac:dyDescent="0.3">
      <c r="A92" s="3">
        <v>26.488403000000002</v>
      </c>
      <c r="B92" s="3">
        <v>1</v>
      </c>
      <c r="C92" s="3">
        <v>1</v>
      </c>
      <c r="D92" s="3">
        <v>7</v>
      </c>
      <c r="E92" s="3">
        <v>2025</v>
      </c>
      <c r="F92" s="5">
        <v>45839</v>
      </c>
      <c r="G92"/>
      <c r="H92" s="3">
        <v>28.458653999999999</v>
      </c>
      <c r="I92" s="3">
        <v>1</v>
      </c>
      <c r="J92" s="3">
        <v>1</v>
      </c>
      <c r="K92" s="3">
        <v>7</v>
      </c>
      <c r="L92" s="3">
        <v>2025</v>
      </c>
      <c r="M92" s="5">
        <v>45839</v>
      </c>
      <c r="O92" s="3">
        <v>24.518160000000002</v>
      </c>
      <c r="P92" s="3">
        <v>1</v>
      </c>
      <c r="Q92" s="3">
        <v>1</v>
      </c>
      <c r="R92" s="3">
        <v>7</v>
      </c>
      <c r="S92" s="3">
        <v>2025</v>
      </c>
      <c r="T92" s="5">
        <v>45839</v>
      </c>
    </row>
    <row r="93" spans="1:20" x14ac:dyDescent="0.3">
      <c r="A93" s="3">
        <v>26.844671000000002</v>
      </c>
      <c r="B93" s="3">
        <v>2</v>
      </c>
      <c r="C93" s="3">
        <v>6</v>
      </c>
      <c r="D93" s="3">
        <v>7</v>
      </c>
      <c r="E93" s="3">
        <v>2025</v>
      </c>
      <c r="F93" s="5">
        <v>45844</v>
      </c>
      <c r="G93"/>
      <c r="H93" s="3">
        <v>29.797756</v>
      </c>
      <c r="I93" s="3">
        <v>2</v>
      </c>
      <c r="J93" s="3">
        <v>6</v>
      </c>
      <c r="K93" s="3">
        <v>7</v>
      </c>
      <c r="L93" s="3">
        <v>2025</v>
      </c>
      <c r="M93" s="5">
        <v>45844</v>
      </c>
      <c r="O93" s="3">
        <v>23.891586</v>
      </c>
      <c r="P93" s="3">
        <v>2</v>
      </c>
      <c r="Q93" s="3">
        <v>6</v>
      </c>
      <c r="R93" s="3">
        <v>7</v>
      </c>
      <c r="S93" s="3">
        <v>2025</v>
      </c>
      <c r="T93" s="5">
        <v>45844</v>
      </c>
    </row>
    <row r="94" spans="1:20" x14ac:dyDescent="0.3">
      <c r="A94" s="3">
        <v>26.865227000000001</v>
      </c>
      <c r="B94" s="3">
        <v>3</v>
      </c>
      <c r="C94" s="3">
        <v>11</v>
      </c>
      <c r="D94" s="3">
        <v>7</v>
      </c>
      <c r="E94" s="3">
        <v>2025</v>
      </c>
      <c r="F94" s="5">
        <v>45849</v>
      </c>
      <c r="G94"/>
      <c r="H94" s="3">
        <v>29.507020000000001</v>
      </c>
      <c r="I94" s="3">
        <v>3</v>
      </c>
      <c r="J94" s="3">
        <v>11</v>
      </c>
      <c r="K94" s="3">
        <v>7</v>
      </c>
      <c r="L94" s="3">
        <v>2025</v>
      </c>
      <c r="M94" s="5">
        <v>45849</v>
      </c>
      <c r="O94" s="3">
        <v>24.223424999999999</v>
      </c>
      <c r="P94" s="3">
        <v>3</v>
      </c>
      <c r="Q94" s="3">
        <v>11</v>
      </c>
      <c r="R94" s="3">
        <v>7</v>
      </c>
      <c r="S94" s="3">
        <v>2025</v>
      </c>
      <c r="T94" s="5">
        <v>45849</v>
      </c>
    </row>
    <row r="95" spans="1:20" x14ac:dyDescent="0.3">
      <c r="A95" s="3">
        <v>27.408552</v>
      </c>
      <c r="B95" s="3">
        <v>4</v>
      </c>
      <c r="C95" s="3">
        <v>16</v>
      </c>
      <c r="D95" s="3">
        <v>7</v>
      </c>
      <c r="E95" s="3">
        <v>2025</v>
      </c>
      <c r="F95" s="5">
        <v>45854</v>
      </c>
      <c r="G95"/>
      <c r="H95" s="3">
        <v>30.034306999999998</v>
      </c>
      <c r="I95" s="3">
        <v>4</v>
      </c>
      <c r="J95" s="3">
        <v>16</v>
      </c>
      <c r="K95" s="3">
        <v>7</v>
      </c>
      <c r="L95" s="3">
        <v>2025</v>
      </c>
      <c r="M95" s="5">
        <v>45854</v>
      </c>
      <c r="O95" s="3">
        <v>24.782799000000001</v>
      </c>
      <c r="P95" s="3">
        <v>4</v>
      </c>
      <c r="Q95" s="3">
        <v>16</v>
      </c>
      <c r="R95" s="3">
        <v>7</v>
      </c>
      <c r="S95" s="3">
        <v>2025</v>
      </c>
      <c r="T95" s="5">
        <v>45854</v>
      </c>
    </row>
    <row r="96" spans="1:20" x14ac:dyDescent="0.3">
      <c r="A96" s="3">
        <v>27.264679000000001</v>
      </c>
      <c r="B96" s="3">
        <v>5</v>
      </c>
      <c r="C96" s="3">
        <v>21</v>
      </c>
      <c r="D96" s="3">
        <v>7</v>
      </c>
      <c r="E96" s="3">
        <v>2025</v>
      </c>
      <c r="F96" s="5">
        <v>45859</v>
      </c>
      <c r="G96"/>
      <c r="H96" s="3">
        <v>30.050357999999999</v>
      </c>
      <c r="I96" s="3">
        <v>5</v>
      </c>
      <c r="J96" s="3">
        <v>21</v>
      </c>
      <c r="K96" s="3">
        <v>7</v>
      </c>
      <c r="L96" s="3">
        <v>2025</v>
      </c>
      <c r="M96" s="5">
        <v>45859</v>
      </c>
      <c r="O96" s="3">
        <v>24.479004</v>
      </c>
      <c r="P96" s="3">
        <v>5</v>
      </c>
      <c r="Q96" s="3">
        <v>21</v>
      </c>
      <c r="R96" s="3">
        <v>7</v>
      </c>
      <c r="S96" s="3">
        <v>2025</v>
      </c>
      <c r="T96" s="5">
        <v>45859</v>
      </c>
    </row>
    <row r="97" spans="1:20" x14ac:dyDescent="0.3">
      <c r="A97" s="3">
        <v>26.920738</v>
      </c>
      <c r="B97" s="3">
        <v>6</v>
      </c>
      <c r="C97" s="3">
        <v>26</v>
      </c>
      <c r="D97" s="3">
        <v>7</v>
      </c>
      <c r="E97" s="3">
        <v>2025</v>
      </c>
      <c r="F97" s="5">
        <v>45864</v>
      </c>
      <c r="G97"/>
      <c r="H97" s="3">
        <v>29.71491</v>
      </c>
      <c r="I97" s="3">
        <v>6</v>
      </c>
      <c r="J97" s="3">
        <v>26</v>
      </c>
      <c r="K97" s="3">
        <v>7</v>
      </c>
      <c r="L97" s="3">
        <v>2025</v>
      </c>
      <c r="M97" s="5">
        <v>45864</v>
      </c>
      <c r="O97" s="3">
        <v>24.126557999999999</v>
      </c>
      <c r="P97" s="3">
        <v>6</v>
      </c>
      <c r="Q97" s="3">
        <v>26</v>
      </c>
      <c r="R97" s="3">
        <v>7</v>
      </c>
      <c r="S97" s="3">
        <v>2025</v>
      </c>
      <c r="T97" s="5">
        <v>45864</v>
      </c>
    </row>
    <row r="98" spans="1:20" x14ac:dyDescent="0.3">
      <c r="A98" s="3">
        <v>26.656566999999999</v>
      </c>
      <c r="B98" s="3">
        <v>1</v>
      </c>
      <c r="C98" s="3">
        <v>1</v>
      </c>
      <c r="D98" s="3">
        <v>8</v>
      </c>
      <c r="E98" s="3">
        <v>2025</v>
      </c>
      <c r="F98" s="5">
        <v>45870</v>
      </c>
      <c r="G98"/>
      <c r="H98" s="3">
        <v>29.369092999999999</v>
      </c>
      <c r="I98" s="3">
        <v>1</v>
      </c>
      <c r="J98" s="3">
        <v>1</v>
      </c>
      <c r="K98" s="3">
        <v>8</v>
      </c>
      <c r="L98" s="3">
        <v>2025</v>
      </c>
      <c r="M98" s="5">
        <v>45870</v>
      </c>
      <c r="O98" s="3">
        <v>23.944042</v>
      </c>
      <c r="P98" s="3">
        <v>1</v>
      </c>
      <c r="Q98" s="3">
        <v>1</v>
      </c>
      <c r="R98" s="3">
        <v>8</v>
      </c>
      <c r="S98" s="3">
        <v>2025</v>
      </c>
      <c r="T98" s="5">
        <v>45870</v>
      </c>
    </row>
    <row r="99" spans="1:20" x14ac:dyDescent="0.3">
      <c r="A99" s="3">
        <v>26.116769999999999</v>
      </c>
      <c r="B99" s="3">
        <v>2</v>
      </c>
      <c r="C99" s="3">
        <v>6</v>
      </c>
      <c r="D99" s="3">
        <v>8</v>
      </c>
      <c r="E99" s="3">
        <v>2025</v>
      </c>
      <c r="F99" s="5">
        <v>45875</v>
      </c>
      <c r="G99"/>
      <c r="H99" s="3">
        <v>28.922203</v>
      </c>
      <c r="I99" s="3">
        <v>2</v>
      </c>
      <c r="J99" s="3">
        <v>6</v>
      </c>
      <c r="K99" s="3">
        <v>8</v>
      </c>
      <c r="L99" s="3">
        <v>2025</v>
      </c>
      <c r="M99" s="5">
        <v>45875</v>
      </c>
      <c r="O99" s="3">
        <v>23.311337999999999</v>
      </c>
      <c r="P99" s="3">
        <v>2</v>
      </c>
      <c r="Q99" s="3">
        <v>6</v>
      </c>
      <c r="R99" s="3">
        <v>8</v>
      </c>
      <c r="S99" s="3">
        <v>2025</v>
      </c>
      <c r="T99" s="5">
        <v>45875</v>
      </c>
    </row>
    <row r="100" spans="1:20" x14ac:dyDescent="0.3">
      <c r="A100" s="3">
        <v>26.292770000000001</v>
      </c>
      <c r="B100" s="3">
        <v>3</v>
      </c>
      <c r="C100" s="3">
        <v>11</v>
      </c>
      <c r="D100" s="3">
        <v>8</v>
      </c>
      <c r="E100" s="3">
        <v>2025</v>
      </c>
      <c r="F100" s="5">
        <v>45880</v>
      </c>
      <c r="G100"/>
      <c r="H100" s="3">
        <v>29.147673000000001</v>
      </c>
      <c r="I100" s="3">
        <v>3</v>
      </c>
      <c r="J100" s="3">
        <v>11</v>
      </c>
      <c r="K100" s="3">
        <v>8</v>
      </c>
      <c r="L100" s="3">
        <v>2025</v>
      </c>
      <c r="M100" s="5">
        <v>45880</v>
      </c>
      <c r="O100" s="3">
        <v>23.43787</v>
      </c>
      <c r="P100" s="3">
        <v>3</v>
      </c>
      <c r="Q100" s="3">
        <v>11</v>
      </c>
      <c r="R100" s="3">
        <v>8</v>
      </c>
      <c r="S100" s="3">
        <v>2025</v>
      </c>
      <c r="T100" s="5">
        <v>45880</v>
      </c>
    </row>
    <row r="101" spans="1:20" x14ac:dyDescent="0.3">
      <c r="A101" s="3">
        <v>26.302399000000001</v>
      </c>
      <c r="B101" s="3">
        <v>4</v>
      </c>
      <c r="C101" s="3">
        <v>16</v>
      </c>
      <c r="D101" s="3">
        <v>8</v>
      </c>
      <c r="E101" s="3">
        <v>2025</v>
      </c>
      <c r="F101" s="5">
        <v>45885</v>
      </c>
      <c r="G101"/>
      <c r="H101" s="3">
        <v>29.018778000000001</v>
      </c>
      <c r="I101" s="3">
        <v>4</v>
      </c>
      <c r="J101" s="3">
        <v>16</v>
      </c>
      <c r="K101" s="3">
        <v>8</v>
      </c>
      <c r="L101" s="3">
        <v>2025</v>
      </c>
      <c r="M101" s="5">
        <v>45885</v>
      </c>
      <c r="O101" s="3">
        <v>23.586023000000001</v>
      </c>
      <c r="P101" s="3">
        <v>4</v>
      </c>
      <c r="Q101" s="3">
        <v>16</v>
      </c>
      <c r="R101" s="3">
        <v>8</v>
      </c>
      <c r="S101" s="3">
        <v>2025</v>
      </c>
      <c r="T101" s="5">
        <v>45885</v>
      </c>
    </row>
    <row r="102" spans="1:20" x14ac:dyDescent="0.3">
      <c r="A102" s="3">
        <v>26.803934000000002</v>
      </c>
      <c r="B102" s="3">
        <v>5</v>
      </c>
      <c r="C102" s="3">
        <v>21</v>
      </c>
      <c r="D102" s="3">
        <v>8</v>
      </c>
      <c r="E102" s="3">
        <v>2025</v>
      </c>
      <c r="F102" s="5">
        <v>45890</v>
      </c>
      <c r="G102"/>
      <c r="H102" s="3">
        <v>29.833048000000002</v>
      </c>
      <c r="I102" s="3">
        <v>5</v>
      </c>
      <c r="J102" s="3">
        <v>21</v>
      </c>
      <c r="K102" s="3">
        <v>8</v>
      </c>
      <c r="L102" s="3">
        <v>2025</v>
      </c>
      <c r="M102" s="5">
        <v>45890</v>
      </c>
      <c r="O102" s="3">
        <v>23.774816999999999</v>
      </c>
      <c r="P102" s="3">
        <v>5</v>
      </c>
      <c r="Q102" s="3">
        <v>21</v>
      </c>
      <c r="R102" s="3">
        <v>8</v>
      </c>
      <c r="S102" s="3">
        <v>2025</v>
      </c>
      <c r="T102" s="5">
        <v>45890</v>
      </c>
    </row>
    <row r="103" spans="1:20" x14ac:dyDescent="0.3">
      <c r="A103" s="3">
        <v>26.752002999999998</v>
      </c>
      <c r="B103" s="3">
        <v>6</v>
      </c>
      <c r="C103" s="3">
        <v>26</v>
      </c>
      <c r="D103" s="3">
        <v>8</v>
      </c>
      <c r="E103" s="3">
        <v>2025</v>
      </c>
      <c r="F103" s="5">
        <v>45895</v>
      </c>
      <c r="G103"/>
      <c r="H103" s="3">
        <v>29.162642999999999</v>
      </c>
      <c r="I103" s="3">
        <v>6</v>
      </c>
      <c r="J103" s="3">
        <v>26</v>
      </c>
      <c r="K103" s="3">
        <v>8</v>
      </c>
      <c r="L103" s="3">
        <v>2025</v>
      </c>
      <c r="M103" s="5">
        <v>45895</v>
      </c>
      <c r="O103" s="3">
        <v>24.341367999999999</v>
      </c>
      <c r="P103" s="3">
        <v>6</v>
      </c>
      <c r="Q103" s="3">
        <v>26</v>
      </c>
      <c r="R103" s="3">
        <v>8</v>
      </c>
      <c r="S103" s="3">
        <v>2025</v>
      </c>
      <c r="T103" s="5">
        <v>45895</v>
      </c>
    </row>
    <row r="104" spans="1:20" x14ac:dyDescent="0.3">
      <c r="A104" s="3">
        <v>26.182721999999998</v>
      </c>
      <c r="B104" s="3">
        <v>1</v>
      </c>
      <c r="C104" s="3">
        <v>1</v>
      </c>
      <c r="D104" s="3">
        <v>9</v>
      </c>
      <c r="E104" s="3">
        <v>2025</v>
      </c>
      <c r="F104" s="5">
        <v>45901</v>
      </c>
      <c r="G104"/>
      <c r="H104" s="3">
        <v>28.500513000000002</v>
      </c>
      <c r="I104" s="3">
        <v>1</v>
      </c>
      <c r="J104" s="3">
        <v>1</v>
      </c>
      <c r="K104" s="3">
        <v>9</v>
      </c>
      <c r="L104" s="3">
        <v>2025</v>
      </c>
      <c r="M104" s="5">
        <v>45901</v>
      </c>
      <c r="O104" s="3">
        <v>23.864930999999999</v>
      </c>
      <c r="P104" s="3">
        <v>1</v>
      </c>
      <c r="Q104" s="3">
        <v>1</v>
      </c>
      <c r="R104" s="3">
        <v>9</v>
      </c>
      <c r="S104" s="3">
        <v>2025</v>
      </c>
      <c r="T104" s="5">
        <v>45901</v>
      </c>
    </row>
    <row r="105" spans="1:20" x14ac:dyDescent="0.3">
      <c r="A105" s="3">
        <v>25.973772</v>
      </c>
      <c r="B105" s="3">
        <v>2</v>
      </c>
      <c r="C105" s="3">
        <v>6</v>
      </c>
      <c r="D105" s="3">
        <v>9</v>
      </c>
      <c r="E105" s="3">
        <v>2025</v>
      </c>
      <c r="F105" s="5">
        <v>45906</v>
      </c>
      <c r="G105"/>
      <c r="H105" s="3">
        <v>28.523683999999999</v>
      </c>
      <c r="I105" s="3">
        <v>2</v>
      </c>
      <c r="J105" s="3">
        <v>6</v>
      </c>
      <c r="K105" s="3">
        <v>9</v>
      </c>
      <c r="L105" s="3">
        <v>2025</v>
      </c>
      <c r="M105" s="5">
        <v>45906</v>
      </c>
      <c r="O105" s="3">
        <v>23.423860000000001</v>
      </c>
      <c r="P105" s="3">
        <v>2</v>
      </c>
      <c r="Q105" s="3">
        <v>6</v>
      </c>
      <c r="R105" s="3">
        <v>9</v>
      </c>
      <c r="S105" s="3">
        <v>2025</v>
      </c>
      <c r="T105" s="5">
        <v>45906</v>
      </c>
    </row>
    <row r="106" spans="1:20" x14ac:dyDescent="0.3">
      <c r="A106" s="3">
        <v>26.371072999999999</v>
      </c>
      <c r="B106" s="3">
        <v>3</v>
      </c>
      <c r="C106" s="3">
        <v>11</v>
      </c>
      <c r="D106" s="3">
        <v>9</v>
      </c>
      <c r="E106" s="3">
        <v>2025</v>
      </c>
      <c r="F106" s="5">
        <v>45911</v>
      </c>
      <c r="G106"/>
      <c r="H106" s="3">
        <v>28.636952999999998</v>
      </c>
      <c r="I106" s="3">
        <v>3</v>
      </c>
      <c r="J106" s="3">
        <v>11</v>
      </c>
      <c r="K106" s="3">
        <v>9</v>
      </c>
      <c r="L106" s="3">
        <v>2025</v>
      </c>
      <c r="M106" s="5">
        <v>45911</v>
      </c>
      <c r="O106" s="3">
        <v>24.105191999999999</v>
      </c>
      <c r="P106" s="3">
        <v>3</v>
      </c>
      <c r="Q106" s="3">
        <v>11</v>
      </c>
      <c r="R106" s="3">
        <v>9</v>
      </c>
      <c r="S106" s="3">
        <v>2025</v>
      </c>
      <c r="T106" s="5">
        <v>45911</v>
      </c>
    </row>
    <row r="107" spans="1:20" x14ac:dyDescent="0.3">
      <c r="A107" s="3">
        <v>25.842098</v>
      </c>
      <c r="B107" s="3">
        <v>4</v>
      </c>
      <c r="C107" s="3">
        <v>16</v>
      </c>
      <c r="D107" s="3">
        <v>9</v>
      </c>
      <c r="E107" s="3">
        <v>2025</v>
      </c>
      <c r="F107" s="5">
        <v>45916</v>
      </c>
      <c r="G107"/>
      <c r="H107" s="3">
        <v>27.914397999999998</v>
      </c>
      <c r="I107" s="3">
        <v>4</v>
      </c>
      <c r="J107" s="3">
        <v>16</v>
      </c>
      <c r="K107" s="3">
        <v>9</v>
      </c>
      <c r="L107" s="3">
        <v>2025</v>
      </c>
      <c r="M107" s="5">
        <v>45916</v>
      </c>
      <c r="O107" s="3">
        <v>23.769798000000002</v>
      </c>
      <c r="P107" s="3">
        <v>4</v>
      </c>
      <c r="Q107" s="3">
        <v>16</v>
      </c>
      <c r="R107" s="3">
        <v>9</v>
      </c>
      <c r="S107" s="3">
        <v>2025</v>
      </c>
      <c r="T107" s="5">
        <v>45916</v>
      </c>
    </row>
    <row r="108" spans="1:20" x14ac:dyDescent="0.3">
      <c r="A108" s="3">
        <v>26.456918999999999</v>
      </c>
      <c r="B108" s="3">
        <v>5</v>
      </c>
      <c r="C108" s="3">
        <v>21</v>
      </c>
      <c r="D108" s="3">
        <v>9</v>
      </c>
      <c r="E108" s="3">
        <v>2025</v>
      </c>
      <c r="F108" s="5">
        <v>45921</v>
      </c>
      <c r="G108"/>
      <c r="H108" s="3">
        <v>28.777612999999999</v>
      </c>
      <c r="I108" s="3">
        <v>5</v>
      </c>
      <c r="J108" s="3">
        <v>21</v>
      </c>
      <c r="K108" s="3">
        <v>9</v>
      </c>
      <c r="L108" s="3">
        <v>2025</v>
      </c>
      <c r="M108" s="5">
        <v>45921</v>
      </c>
      <c r="O108" s="3">
        <v>24.136227000000002</v>
      </c>
      <c r="P108" s="3">
        <v>5</v>
      </c>
      <c r="Q108" s="3">
        <v>21</v>
      </c>
      <c r="R108" s="3">
        <v>9</v>
      </c>
      <c r="S108" s="3">
        <v>2025</v>
      </c>
      <c r="T108" s="5">
        <v>45921</v>
      </c>
    </row>
    <row r="109" spans="1:20" x14ac:dyDescent="0.3">
      <c r="A109" s="3">
        <v>26.079481000000001</v>
      </c>
      <c r="B109" s="3">
        <v>6</v>
      </c>
      <c r="C109" s="3">
        <v>26</v>
      </c>
      <c r="D109" s="3">
        <v>9</v>
      </c>
      <c r="E109" s="3">
        <v>2025</v>
      </c>
      <c r="F109" s="5">
        <v>45926</v>
      </c>
      <c r="G109"/>
      <c r="H109" s="3">
        <v>28.381074999999999</v>
      </c>
      <c r="I109" s="3">
        <v>6</v>
      </c>
      <c r="J109" s="3">
        <v>26</v>
      </c>
      <c r="K109" s="3">
        <v>9</v>
      </c>
      <c r="L109" s="3">
        <v>2025</v>
      </c>
      <c r="M109" s="5">
        <v>45926</v>
      </c>
      <c r="O109" s="3">
        <v>23.777885000000001</v>
      </c>
      <c r="P109" s="3">
        <v>6</v>
      </c>
      <c r="Q109" s="3">
        <v>26</v>
      </c>
      <c r="R109" s="3">
        <v>9</v>
      </c>
      <c r="S109" s="3">
        <v>2025</v>
      </c>
      <c r="T109" s="5">
        <v>45926</v>
      </c>
    </row>
    <row r="110" spans="1:20" x14ac:dyDescent="0.3">
      <c r="F110" s="5"/>
    </row>
    <row r="111" spans="1:20" x14ac:dyDescent="0.3">
      <c r="F111" s="5"/>
    </row>
    <row r="112" spans="1:20" x14ac:dyDescent="0.3">
      <c r="F112" s="5"/>
    </row>
    <row r="113" spans="6:6" x14ac:dyDescent="0.3">
      <c r="F113" s="5"/>
    </row>
    <row r="114" spans="6:6" x14ac:dyDescent="0.3">
      <c r="F114" s="5"/>
    </row>
    <row r="115" spans="6:6" x14ac:dyDescent="0.3">
      <c r="F115" s="5"/>
    </row>
    <row r="116" spans="6:6" x14ac:dyDescent="0.3">
      <c r="F116" s="5"/>
    </row>
    <row r="117" spans="6:6" x14ac:dyDescent="0.3">
      <c r="F117" s="5"/>
    </row>
    <row r="118" spans="6:6" x14ac:dyDescent="0.3">
      <c r="F118" s="5"/>
    </row>
    <row r="119" spans="6:6" x14ac:dyDescent="0.3">
      <c r="F119" s="5"/>
    </row>
    <row r="120" spans="6:6" x14ac:dyDescent="0.3">
      <c r="F120" s="5"/>
    </row>
    <row r="121" spans="6:6" x14ac:dyDescent="0.3">
      <c r="F121" s="5"/>
    </row>
    <row r="122" spans="6:6" x14ac:dyDescent="0.3">
      <c r="F122" s="5"/>
    </row>
    <row r="123" spans="6:6" x14ac:dyDescent="0.3">
      <c r="F123" s="5"/>
    </row>
    <row r="124" spans="6:6" x14ac:dyDescent="0.3">
      <c r="F124" s="5"/>
    </row>
    <row r="125" spans="6:6" x14ac:dyDescent="0.3">
      <c r="F125" s="5"/>
    </row>
    <row r="126" spans="6:6" x14ac:dyDescent="0.3">
      <c r="F126" s="5"/>
    </row>
    <row r="127" spans="6:6" x14ac:dyDescent="0.3">
      <c r="F127" s="5"/>
    </row>
    <row r="128" spans="6:6" x14ac:dyDescent="0.3">
      <c r="F128" s="5"/>
    </row>
    <row r="129" spans="6:6" x14ac:dyDescent="0.3">
      <c r="F129" s="5"/>
    </row>
    <row r="130" spans="6:6" x14ac:dyDescent="0.3">
      <c r="F130" s="5"/>
    </row>
    <row r="131" spans="6:6" x14ac:dyDescent="0.3">
      <c r="F131" s="5"/>
    </row>
    <row r="132" spans="6:6" x14ac:dyDescent="0.3">
      <c r="F132" s="5"/>
    </row>
    <row r="133" spans="6:6" x14ac:dyDescent="0.3">
      <c r="F133" s="5"/>
    </row>
    <row r="134" spans="6:6" x14ac:dyDescent="0.3">
      <c r="F134" s="5"/>
    </row>
    <row r="135" spans="6:6" x14ac:dyDescent="0.3">
      <c r="F135" s="5"/>
    </row>
    <row r="136" spans="6:6" x14ac:dyDescent="0.3">
      <c r="F136" s="5"/>
    </row>
    <row r="137" spans="6:6" x14ac:dyDescent="0.3">
      <c r="F137" s="5"/>
    </row>
    <row r="138" spans="6:6" x14ac:dyDescent="0.3">
      <c r="F138" s="5"/>
    </row>
    <row r="139" spans="6:6" x14ac:dyDescent="0.3">
      <c r="F139" s="5"/>
    </row>
    <row r="140" spans="6:6" x14ac:dyDescent="0.3">
      <c r="F140" s="5"/>
    </row>
    <row r="141" spans="6:6" x14ac:dyDescent="0.3">
      <c r="F141" s="5"/>
    </row>
    <row r="142" spans="6:6" x14ac:dyDescent="0.3">
      <c r="F142" s="5"/>
    </row>
    <row r="143" spans="6:6" x14ac:dyDescent="0.3">
      <c r="F143" s="5"/>
    </row>
    <row r="144" spans="6:6" x14ac:dyDescent="0.3">
      <c r="F144" s="5"/>
    </row>
    <row r="145" spans="6:6" x14ac:dyDescent="0.3">
      <c r="F145" s="5"/>
    </row>
    <row r="146" spans="6:6" x14ac:dyDescent="0.3">
      <c r="F146" s="5"/>
    </row>
    <row r="147" spans="6:6" x14ac:dyDescent="0.3">
      <c r="F147" s="5"/>
    </row>
    <row r="148" spans="6:6" x14ac:dyDescent="0.3">
      <c r="F148" s="5"/>
    </row>
    <row r="149" spans="6:6" x14ac:dyDescent="0.3">
      <c r="F149" s="5"/>
    </row>
    <row r="150" spans="6:6" x14ac:dyDescent="0.3">
      <c r="F150" s="5"/>
    </row>
    <row r="151" spans="6:6" x14ac:dyDescent="0.3">
      <c r="F151" s="5"/>
    </row>
    <row r="152" spans="6:6" x14ac:dyDescent="0.3">
      <c r="F152" s="5"/>
    </row>
    <row r="153" spans="6:6" x14ac:dyDescent="0.3">
      <c r="F153" s="5"/>
    </row>
    <row r="154" spans="6:6" x14ac:dyDescent="0.3">
      <c r="F154" s="5"/>
    </row>
    <row r="155" spans="6:6" x14ac:dyDescent="0.3">
      <c r="F155" s="5"/>
    </row>
    <row r="156" spans="6:6" x14ac:dyDescent="0.3">
      <c r="F156" s="5"/>
    </row>
    <row r="157" spans="6:6" x14ac:dyDescent="0.3">
      <c r="F157" s="5"/>
    </row>
    <row r="158" spans="6:6" x14ac:dyDescent="0.3">
      <c r="F158" s="5"/>
    </row>
    <row r="159" spans="6:6" x14ac:dyDescent="0.3">
      <c r="F159" s="5"/>
    </row>
    <row r="160" spans="6:6" x14ac:dyDescent="0.3">
      <c r="F160" s="5"/>
    </row>
    <row r="161" spans="6:6" x14ac:dyDescent="0.3">
      <c r="F161" s="5"/>
    </row>
    <row r="162" spans="6:6" x14ac:dyDescent="0.3">
      <c r="F162" s="5"/>
    </row>
    <row r="163" spans="6:6" x14ac:dyDescent="0.3">
      <c r="F163" s="5"/>
    </row>
    <row r="164" spans="6:6" x14ac:dyDescent="0.3">
      <c r="F164" s="5"/>
    </row>
    <row r="165" spans="6:6" x14ac:dyDescent="0.3">
      <c r="F165" s="5"/>
    </row>
    <row r="166" spans="6:6" x14ac:dyDescent="0.3">
      <c r="F166" s="5"/>
    </row>
    <row r="167" spans="6:6" x14ac:dyDescent="0.3">
      <c r="F167" s="5"/>
    </row>
    <row r="168" spans="6:6" x14ac:dyDescent="0.3">
      <c r="F168" s="5"/>
    </row>
    <row r="169" spans="6:6" x14ac:dyDescent="0.3">
      <c r="F169" s="5"/>
    </row>
    <row r="170" spans="6:6" x14ac:dyDescent="0.3">
      <c r="F170" s="5"/>
    </row>
    <row r="171" spans="6:6" x14ac:dyDescent="0.3">
      <c r="F171" s="5"/>
    </row>
    <row r="172" spans="6:6" x14ac:dyDescent="0.3">
      <c r="F172" s="5"/>
    </row>
    <row r="173" spans="6:6" x14ac:dyDescent="0.3">
      <c r="F173" s="5"/>
    </row>
    <row r="174" spans="6:6" x14ac:dyDescent="0.3">
      <c r="F174" s="5"/>
    </row>
    <row r="175" spans="6:6" x14ac:dyDescent="0.3">
      <c r="F175" s="5"/>
    </row>
    <row r="176" spans="6:6" x14ac:dyDescent="0.3">
      <c r="F176" s="5"/>
    </row>
    <row r="177" spans="6:6" x14ac:dyDescent="0.3">
      <c r="F177" s="5"/>
    </row>
    <row r="178" spans="6:6" x14ac:dyDescent="0.3">
      <c r="F178" s="5"/>
    </row>
    <row r="179" spans="6:6" x14ac:dyDescent="0.3">
      <c r="F179" s="5"/>
    </row>
    <row r="180" spans="6:6" x14ac:dyDescent="0.3">
      <c r="F180" s="5"/>
    </row>
    <row r="181" spans="6:6" x14ac:dyDescent="0.3">
      <c r="F181" s="5"/>
    </row>
    <row r="182" spans="6:6" x14ac:dyDescent="0.3">
      <c r="F182" s="5"/>
    </row>
    <row r="183" spans="6:6" x14ac:dyDescent="0.3">
      <c r="F183" s="5"/>
    </row>
    <row r="184" spans="6:6" x14ac:dyDescent="0.3">
      <c r="F184" s="5"/>
    </row>
    <row r="185" spans="6:6" x14ac:dyDescent="0.3">
      <c r="F185" s="5"/>
    </row>
    <row r="186" spans="6:6" x14ac:dyDescent="0.3">
      <c r="F186" s="5"/>
    </row>
    <row r="187" spans="6:6" x14ac:dyDescent="0.3">
      <c r="F187" s="5"/>
    </row>
    <row r="188" spans="6:6" x14ac:dyDescent="0.3">
      <c r="F188" s="5"/>
    </row>
    <row r="189" spans="6:6" x14ac:dyDescent="0.3">
      <c r="F189" s="5"/>
    </row>
    <row r="190" spans="6:6" x14ac:dyDescent="0.3">
      <c r="F190" s="5"/>
    </row>
    <row r="191" spans="6:6" x14ac:dyDescent="0.3">
      <c r="F191" s="5"/>
    </row>
    <row r="192" spans="6:6" x14ac:dyDescent="0.3">
      <c r="F192" s="5"/>
    </row>
    <row r="193" spans="6:6" x14ac:dyDescent="0.3">
      <c r="F193" s="5"/>
    </row>
    <row r="194" spans="6:6" x14ac:dyDescent="0.3">
      <c r="F194" s="5"/>
    </row>
    <row r="195" spans="6:6" x14ac:dyDescent="0.3">
      <c r="F195" s="5"/>
    </row>
    <row r="196" spans="6:6" x14ac:dyDescent="0.3">
      <c r="F196" s="5"/>
    </row>
    <row r="197" spans="6:6" x14ac:dyDescent="0.3">
      <c r="F197" s="5"/>
    </row>
    <row r="198" spans="6:6" x14ac:dyDescent="0.3">
      <c r="F198" s="5"/>
    </row>
    <row r="199" spans="6:6" x14ac:dyDescent="0.3">
      <c r="F199" s="5"/>
    </row>
    <row r="200" spans="6:6" x14ac:dyDescent="0.3">
      <c r="F200" s="5"/>
    </row>
    <row r="201" spans="6:6" x14ac:dyDescent="0.3">
      <c r="F201" s="5"/>
    </row>
    <row r="202" spans="6:6" x14ac:dyDescent="0.3">
      <c r="F202" s="5"/>
    </row>
    <row r="203" spans="6:6" x14ac:dyDescent="0.3">
      <c r="F203" s="5"/>
    </row>
    <row r="204" spans="6:6" x14ac:dyDescent="0.3">
      <c r="F204" s="5"/>
    </row>
    <row r="205" spans="6:6" x14ac:dyDescent="0.3">
      <c r="F205" s="5"/>
    </row>
    <row r="206" spans="6:6" x14ac:dyDescent="0.3">
      <c r="F206" s="5"/>
    </row>
    <row r="207" spans="6:6" x14ac:dyDescent="0.3">
      <c r="F207" s="5"/>
    </row>
    <row r="208" spans="6:6" x14ac:dyDescent="0.3">
      <c r="F208" s="5"/>
    </row>
    <row r="209" spans="6:6" x14ac:dyDescent="0.3">
      <c r="F209" s="5"/>
    </row>
    <row r="210" spans="6:6" x14ac:dyDescent="0.3">
      <c r="F210" s="5"/>
    </row>
    <row r="211" spans="6:6" x14ac:dyDescent="0.3">
      <c r="F211" s="5"/>
    </row>
    <row r="212" spans="6:6" x14ac:dyDescent="0.3">
      <c r="F212" s="5"/>
    </row>
    <row r="213" spans="6:6" x14ac:dyDescent="0.3">
      <c r="F213" s="5"/>
    </row>
    <row r="214" spans="6:6" x14ac:dyDescent="0.3">
      <c r="F214" s="5"/>
    </row>
    <row r="215" spans="6:6" x14ac:dyDescent="0.3">
      <c r="F215" s="5"/>
    </row>
    <row r="216" spans="6:6" x14ac:dyDescent="0.3">
      <c r="F216" s="5"/>
    </row>
    <row r="217" spans="6:6" x14ac:dyDescent="0.3">
      <c r="F217" s="5"/>
    </row>
    <row r="218" spans="6:6" x14ac:dyDescent="0.3">
      <c r="F218" s="5"/>
    </row>
  </sheetData>
  <mergeCells count="3">
    <mergeCell ref="A1:F1"/>
    <mergeCell ref="H1:M1"/>
    <mergeCell ref="O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90C8-F874-4A1B-874A-043689354636}">
  <dimension ref="A1:N407"/>
  <sheetViews>
    <sheetView workbookViewId="0">
      <selection activeCell="G3" sqref="G3"/>
    </sheetView>
  </sheetViews>
  <sheetFormatPr baseColWidth="10" defaultColWidth="8.85546875" defaultRowHeight="18.75" x14ac:dyDescent="0.25"/>
  <cols>
    <col min="1" max="1" width="13.140625" bestFit="1" customWidth="1"/>
    <col min="2" max="2" width="9.140625"/>
    <col min="3" max="3" width="17.28515625" bestFit="1" customWidth="1"/>
    <col min="4" max="5" width="9.140625"/>
    <col min="6" max="6" width="13.140625" bestFit="1" customWidth="1"/>
    <col min="7" max="7" width="9.140625"/>
    <col min="8" max="8" width="17.28515625" bestFit="1" customWidth="1"/>
    <col min="9" max="10" width="9.140625"/>
    <col min="11" max="11" width="13.140625" bestFit="1" customWidth="1"/>
    <col min="12" max="12" width="9.140625"/>
    <col min="13" max="13" width="17.28515625" bestFit="1" customWidth="1"/>
    <col min="14" max="14" width="9.140625" customWidth="1"/>
    <col min="15" max="16384" width="8.85546875" style="1"/>
  </cols>
  <sheetData>
    <row r="1" spans="1:14" ht="23.25" x14ac:dyDescent="0.35">
      <c r="A1" s="9" t="s">
        <v>37</v>
      </c>
      <c r="B1" s="9"/>
      <c r="C1" s="9"/>
      <c r="D1" s="9"/>
      <c r="F1" s="9" t="s">
        <v>38</v>
      </c>
      <c r="G1" s="9"/>
      <c r="H1" s="9"/>
      <c r="I1" s="9"/>
      <c r="K1" s="9" t="s">
        <v>39</v>
      </c>
      <c r="L1" s="9"/>
      <c r="M1" s="9"/>
      <c r="N1" s="9"/>
    </row>
    <row r="2" spans="1:14" x14ac:dyDescent="0.3">
      <c r="A2" s="6" t="s">
        <v>33</v>
      </c>
      <c r="B2" s="6" t="s">
        <v>30</v>
      </c>
      <c r="C2" s="6" t="s">
        <v>32</v>
      </c>
      <c r="D2" s="6" t="s">
        <v>29</v>
      </c>
      <c r="E2" s="3"/>
      <c r="F2" s="6" t="s">
        <v>33</v>
      </c>
      <c r="G2" s="6" t="s">
        <v>30</v>
      </c>
      <c r="H2" s="6" t="s">
        <v>32</v>
      </c>
      <c r="I2" s="6" t="s">
        <v>29</v>
      </c>
      <c r="J2" s="3"/>
      <c r="K2" s="6" t="s">
        <v>33</v>
      </c>
      <c r="L2" s="6" t="s">
        <v>30</v>
      </c>
      <c r="M2" s="6" t="s">
        <v>32</v>
      </c>
      <c r="N2" s="6" t="s">
        <v>29</v>
      </c>
    </row>
    <row r="3" spans="1:14" x14ac:dyDescent="0.3">
      <c r="A3" s="3">
        <v>25.794682999999999</v>
      </c>
      <c r="B3" s="3">
        <v>1981</v>
      </c>
      <c r="C3" s="3">
        <v>-0.50066376000000001</v>
      </c>
      <c r="D3" s="3" t="s">
        <v>0</v>
      </c>
      <c r="E3" s="3"/>
      <c r="F3" s="3">
        <v>28.877369999999999</v>
      </c>
      <c r="G3" s="3">
        <v>1981</v>
      </c>
      <c r="H3" s="3">
        <v>-0.50555609999999995</v>
      </c>
      <c r="I3" s="3" t="s">
        <v>0</v>
      </c>
      <c r="J3" s="3"/>
      <c r="K3" s="3">
        <v>22.712012999999999</v>
      </c>
      <c r="L3" s="3">
        <v>1981</v>
      </c>
      <c r="M3" s="3">
        <v>-0.49575996</v>
      </c>
      <c r="N3" s="3" t="s">
        <v>0</v>
      </c>
    </row>
    <row r="4" spans="1:14" x14ac:dyDescent="0.3">
      <c r="A4" s="3">
        <v>25.794854999999998</v>
      </c>
      <c r="B4" s="3">
        <v>1982</v>
      </c>
      <c r="C4" s="3">
        <v>-0.5004921</v>
      </c>
      <c r="D4" s="3" t="s">
        <v>0</v>
      </c>
      <c r="E4" s="3"/>
      <c r="F4" s="3">
        <v>28.640944000000001</v>
      </c>
      <c r="G4" s="3">
        <v>1982</v>
      </c>
      <c r="H4" s="3">
        <v>-0.74198339999999996</v>
      </c>
      <c r="I4" s="3" t="s">
        <v>0</v>
      </c>
      <c r="J4" s="3"/>
      <c r="K4" s="3">
        <v>22.948740000000001</v>
      </c>
      <c r="L4" s="3">
        <v>1982</v>
      </c>
      <c r="M4" s="3">
        <v>-0.25903320000000002</v>
      </c>
      <c r="N4" s="3" t="s">
        <v>0</v>
      </c>
    </row>
    <row r="5" spans="1:14" x14ac:dyDescent="0.3">
      <c r="A5" s="3">
        <v>26.694365000000001</v>
      </c>
      <c r="B5" s="3">
        <v>1983</v>
      </c>
      <c r="C5" s="3">
        <v>0.39901733</v>
      </c>
      <c r="D5" s="3" t="s">
        <v>0</v>
      </c>
      <c r="E5" s="3"/>
      <c r="F5" s="3">
        <v>29.640260000000001</v>
      </c>
      <c r="G5" s="3">
        <v>1983</v>
      </c>
      <c r="H5" s="3">
        <v>0.25733376000000002</v>
      </c>
      <c r="I5" s="3" t="s">
        <v>0</v>
      </c>
      <c r="J5" s="3"/>
      <c r="K5" s="3">
        <v>23.748476</v>
      </c>
      <c r="L5" s="3">
        <v>1983</v>
      </c>
      <c r="M5" s="3">
        <v>0.54070280000000004</v>
      </c>
      <c r="N5" s="3" t="s">
        <v>0</v>
      </c>
    </row>
    <row r="6" spans="1:14" x14ac:dyDescent="0.3">
      <c r="A6" s="3">
        <v>25.245518000000001</v>
      </c>
      <c r="B6" s="3">
        <v>1984</v>
      </c>
      <c r="C6" s="3">
        <v>-1.0498295</v>
      </c>
      <c r="D6" s="3" t="s">
        <v>0</v>
      </c>
      <c r="E6" s="3"/>
      <c r="F6" s="3">
        <v>28.201324</v>
      </c>
      <c r="G6" s="3">
        <v>1984</v>
      </c>
      <c r="H6" s="3">
        <v>-1.1816024999999999</v>
      </c>
      <c r="I6" s="3" t="s">
        <v>0</v>
      </c>
      <c r="J6" s="3"/>
      <c r="K6" s="3">
        <v>22.289743000000001</v>
      </c>
      <c r="L6" s="3">
        <v>1984</v>
      </c>
      <c r="M6" s="3">
        <v>-0.91802980000000001</v>
      </c>
      <c r="N6" s="3" t="s">
        <v>0</v>
      </c>
    </row>
    <row r="7" spans="1:14" x14ac:dyDescent="0.3">
      <c r="A7" s="3">
        <v>25.212330000000001</v>
      </c>
      <c r="B7" s="3">
        <v>1985</v>
      </c>
      <c r="C7" s="3">
        <v>-1.0830173000000001</v>
      </c>
      <c r="D7" s="3" t="s">
        <v>0</v>
      </c>
      <c r="E7" s="3"/>
      <c r="F7" s="3">
        <v>28.333189000000001</v>
      </c>
      <c r="G7" s="3">
        <v>1985</v>
      </c>
      <c r="H7" s="3">
        <v>-1.0497379</v>
      </c>
      <c r="I7" s="3" t="s">
        <v>0</v>
      </c>
      <c r="J7" s="3"/>
      <c r="K7" s="3">
        <v>22.091453999999999</v>
      </c>
      <c r="L7" s="3">
        <v>1985</v>
      </c>
      <c r="M7" s="3">
        <v>-1.1163197</v>
      </c>
      <c r="N7" s="3" t="s">
        <v>0</v>
      </c>
    </row>
    <row r="8" spans="1:14" x14ac:dyDescent="0.3">
      <c r="A8" s="3">
        <v>25.604810000000001</v>
      </c>
      <c r="B8" s="3">
        <v>1986</v>
      </c>
      <c r="C8" s="3">
        <v>-0.6905365</v>
      </c>
      <c r="D8" s="3" t="s">
        <v>0</v>
      </c>
      <c r="E8" s="3"/>
      <c r="F8" s="3">
        <v>28.583689</v>
      </c>
      <c r="G8" s="3">
        <v>1986</v>
      </c>
      <c r="H8" s="3">
        <v>-0.79923820000000001</v>
      </c>
      <c r="I8" s="3" t="s">
        <v>0</v>
      </c>
      <c r="J8" s="3"/>
      <c r="K8" s="3">
        <v>22.625938000000001</v>
      </c>
      <c r="L8" s="3">
        <v>1986</v>
      </c>
      <c r="M8" s="3">
        <v>-0.58183479999999999</v>
      </c>
      <c r="N8" s="3" t="s">
        <v>0</v>
      </c>
    </row>
    <row r="9" spans="1:14" x14ac:dyDescent="0.3">
      <c r="A9" s="3">
        <v>26.133040999999999</v>
      </c>
      <c r="B9" s="3">
        <v>1987</v>
      </c>
      <c r="C9" s="3">
        <v>-0.16230583000000001</v>
      </c>
      <c r="D9" s="3" t="s">
        <v>0</v>
      </c>
      <c r="E9" s="3"/>
      <c r="F9" s="3">
        <v>29.271993999999999</v>
      </c>
      <c r="G9" s="3">
        <v>1987</v>
      </c>
      <c r="H9" s="3">
        <v>-0.110933304</v>
      </c>
      <c r="I9" s="3" t="s">
        <v>0</v>
      </c>
      <c r="J9" s="3"/>
      <c r="K9" s="3">
        <v>22.994152</v>
      </c>
      <c r="L9" s="3">
        <v>1987</v>
      </c>
      <c r="M9" s="3">
        <v>-0.21362113999999999</v>
      </c>
      <c r="N9" s="3" t="s">
        <v>0</v>
      </c>
    </row>
    <row r="10" spans="1:14" x14ac:dyDescent="0.3">
      <c r="A10" s="3">
        <v>26.213349999999998</v>
      </c>
      <c r="B10" s="3">
        <v>1988</v>
      </c>
      <c r="C10" s="3">
        <v>-8.1996920000000001E-2</v>
      </c>
      <c r="D10" s="3" t="s">
        <v>0</v>
      </c>
      <c r="E10" s="3"/>
      <c r="F10" s="3">
        <v>29.455736000000002</v>
      </c>
      <c r="G10" s="3">
        <v>1988</v>
      </c>
      <c r="H10" s="3">
        <v>7.2809219999999994E-2</v>
      </c>
      <c r="I10" s="3" t="s">
        <v>0</v>
      </c>
      <c r="J10" s="3"/>
      <c r="K10" s="3">
        <v>22.971008000000001</v>
      </c>
      <c r="L10" s="3">
        <v>1988</v>
      </c>
      <c r="M10" s="3">
        <v>-0.23676491</v>
      </c>
      <c r="N10" s="3" t="s">
        <v>0</v>
      </c>
    </row>
    <row r="11" spans="1:14" x14ac:dyDescent="0.3">
      <c r="A11" s="3">
        <v>25.539073999999999</v>
      </c>
      <c r="B11" s="3">
        <v>1989</v>
      </c>
      <c r="C11" s="3">
        <v>-0.75627327</v>
      </c>
      <c r="D11" s="3" t="s">
        <v>0</v>
      </c>
      <c r="E11" s="3"/>
      <c r="F11" s="3">
        <v>28.623252999999998</v>
      </c>
      <c r="G11" s="3">
        <v>1989</v>
      </c>
      <c r="H11" s="3">
        <v>-0.75967410000000002</v>
      </c>
      <c r="I11" s="3" t="s">
        <v>0</v>
      </c>
      <c r="J11" s="3"/>
      <c r="K11" s="3">
        <v>22.454844000000001</v>
      </c>
      <c r="L11" s="3">
        <v>1989</v>
      </c>
      <c r="M11" s="3">
        <v>-0.75292970000000004</v>
      </c>
      <c r="N11" s="3" t="s">
        <v>0</v>
      </c>
    </row>
    <row r="12" spans="1:14" x14ac:dyDescent="0.3">
      <c r="A12" s="3">
        <v>26.107551999999998</v>
      </c>
      <c r="B12" s="3">
        <v>1990</v>
      </c>
      <c r="C12" s="3">
        <v>-0.18779564000000001</v>
      </c>
      <c r="D12" s="3" t="s">
        <v>0</v>
      </c>
      <c r="E12" s="3"/>
      <c r="F12" s="3">
        <v>29.035495999999998</v>
      </c>
      <c r="G12" s="3">
        <v>1990</v>
      </c>
      <c r="H12" s="3">
        <v>-0.34743118000000001</v>
      </c>
      <c r="I12" s="3" t="s">
        <v>0</v>
      </c>
      <c r="J12" s="3"/>
      <c r="K12" s="3">
        <v>23.179563999999999</v>
      </c>
      <c r="L12" s="3">
        <v>1990</v>
      </c>
      <c r="M12" s="3">
        <v>-2.8209686000000001E-2</v>
      </c>
      <c r="N12" s="3" t="s">
        <v>0</v>
      </c>
    </row>
    <row r="13" spans="1:14" x14ac:dyDescent="0.3">
      <c r="A13" s="3">
        <v>25.999538000000001</v>
      </c>
      <c r="B13" s="3">
        <v>1991</v>
      </c>
      <c r="C13" s="3">
        <v>-0.29580879999999998</v>
      </c>
      <c r="D13" s="3" t="s">
        <v>0</v>
      </c>
      <c r="E13" s="3"/>
      <c r="F13" s="3">
        <v>29.223503000000001</v>
      </c>
      <c r="G13" s="3">
        <v>1991</v>
      </c>
      <c r="H13" s="3">
        <v>-0.15942382999999999</v>
      </c>
      <c r="I13" s="3" t="s">
        <v>0</v>
      </c>
      <c r="J13" s="3"/>
      <c r="K13" s="3">
        <v>22.775549000000002</v>
      </c>
      <c r="L13" s="3">
        <v>1991</v>
      </c>
      <c r="M13" s="3">
        <v>-0.43222427000000002</v>
      </c>
      <c r="N13" s="3" t="s">
        <v>0</v>
      </c>
    </row>
    <row r="14" spans="1:14" x14ac:dyDescent="0.3">
      <c r="A14" s="3">
        <v>25.90025</v>
      </c>
      <c r="B14" s="3">
        <v>1992</v>
      </c>
      <c r="C14" s="3">
        <v>-0.39509772999999998</v>
      </c>
      <c r="D14" s="3" t="s">
        <v>0</v>
      </c>
      <c r="E14" s="3"/>
      <c r="F14" s="3">
        <v>28.769369999999999</v>
      </c>
      <c r="G14" s="3">
        <v>1992</v>
      </c>
      <c r="H14" s="3">
        <v>-0.61355780000000004</v>
      </c>
      <c r="I14" s="3" t="s">
        <v>0</v>
      </c>
      <c r="J14" s="3"/>
      <c r="K14" s="3">
        <v>23.031123999999998</v>
      </c>
      <c r="L14" s="3">
        <v>1992</v>
      </c>
      <c r="M14" s="3">
        <v>-0.1766491</v>
      </c>
      <c r="N14" s="3" t="s">
        <v>0</v>
      </c>
    </row>
    <row r="15" spans="1:14" x14ac:dyDescent="0.3">
      <c r="A15" s="3">
        <v>25.938503000000001</v>
      </c>
      <c r="B15" s="3">
        <v>1993</v>
      </c>
      <c r="C15" s="3">
        <v>-0.35684395000000002</v>
      </c>
      <c r="D15" s="3" t="s">
        <v>0</v>
      </c>
      <c r="E15" s="3"/>
      <c r="F15" s="3">
        <v>28.927924999999998</v>
      </c>
      <c r="G15" s="3">
        <v>1993</v>
      </c>
      <c r="H15" s="3">
        <v>-0.45500183</v>
      </c>
      <c r="I15" s="3" t="s">
        <v>0</v>
      </c>
      <c r="J15" s="3"/>
      <c r="K15" s="3">
        <v>22.949117999999999</v>
      </c>
      <c r="L15" s="3">
        <v>1993</v>
      </c>
      <c r="M15" s="3">
        <v>-0.25865555000000001</v>
      </c>
      <c r="N15" s="3" t="s">
        <v>0</v>
      </c>
    </row>
    <row r="16" spans="1:14" x14ac:dyDescent="0.3">
      <c r="A16" s="3">
        <v>25.700551999999998</v>
      </c>
      <c r="B16" s="3">
        <v>1994</v>
      </c>
      <c r="C16" s="3">
        <v>-0.59479519999999997</v>
      </c>
      <c r="D16" s="3" t="s">
        <v>0</v>
      </c>
      <c r="E16" s="3"/>
      <c r="F16" s="3">
        <v>28.996863999999999</v>
      </c>
      <c r="G16" s="3">
        <v>1994</v>
      </c>
      <c r="H16" s="3">
        <v>-0.38606262000000002</v>
      </c>
      <c r="I16" s="3" t="s">
        <v>0</v>
      </c>
      <c r="J16" s="3"/>
      <c r="K16" s="3">
        <v>22.404247000000002</v>
      </c>
      <c r="L16" s="3">
        <v>1994</v>
      </c>
      <c r="M16" s="3">
        <v>-0.80352590000000002</v>
      </c>
      <c r="N16" s="3" t="s">
        <v>0</v>
      </c>
    </row>
    <row r="17" spans="1:14" x14ac:dyDescent="0.3">
      <c r="A17" s="3">
        <v>26.315514</v>
      </c>
      <c r="B17" s="3">
        <v>1995</v>
      </c>
      <c r="C17" s="3">
        <v>2.0166396999999999E-2</v>
      </c>
      <c r="D17" s="3" t="s">
        <v>0</v>
      </c>
      <c r="E17" s="3"/>
      <c r="F17" s="3">
        <v>29.669796000000002</v>
      </c>
      <c r="G17" s="3">
        <v>1995</v>
      </c>
      <c r="H17" s="3">
        <v>0.28686905000000001</v>
      </c>
      <c r="I17" s="3" t="s">
        <v>0</v>
      </c>
      <c r="J17" s="3"/>
      <c r="K17" s="3">
        <v>22.961266999999999</v>
      </c>
      <c r="L17" s="3">
        <v>1995</v>
      </c>
      <c r="M17" s="3">
        <v>-0.24650574</v>
      </c>
      <c r="N17" s="3" t="s">
        <v>0</v>
      </c>
    </row>
    <row r="18" spans="1:14" x14ac:dyDescent="0.3">
      <c r="A18" s="3">
        <v>25.520838000000001</v>
      </c>
      <c r="B18" s="3">
        <v>1996</v>
      </c>
      <c r="C18" s="3">
        <v>-0.77450943000000005</v>
      </c>
      <c r="D18" s="3" t="s">
        <v>0</v>
      </c>
      <c r="E18" s="3"/>
      <c r="F18" s="3">
        <v>28.356909000000002</v>
      </c>
      <c r="G18" s="3">
        <v>1996</v>
      </c>
      <c r="H18" s="3">
        <v>-1.0260180999999999</v>
      </c>
      <c r="I18" s="3" t="s">
        <v>0</v>
      </c>
      <c r="J18" s="3"/>
      <c r="K18" s="3">
        <v>22.684754999999999</v>
      </c>
      <c r="L18" s="3">
        <v>1996</v>
      </c>
      <c r="M18" s="3">
        <v>-0.52301790000000004</v>
      </c>
      <c r="N18" s="3" t="s">
        <v>0</v>
      </c>
    </row>
    <row r="19" spans="1:14" x14ac:dyDescent="0.3">
      <c r="A19" s="3">
        <v>25.691068999999999</v>
      </c>
      <c r="B19" s="3">
        <v>1997</v>
      </c>
      <c r="C19" s="3">
        <v>-0.60427856000000002</v>
      </c>
      <c r="D19" s="3" t="s">
        <v>0</v>
      </c>
      <c r="E19" s="3"/>
      <c r="F19" s="3">
        <v>28.972964999999999</v>
      </c>
      <c r="G19" s="3">
        <v>1997</v>
      </c>
      <c r="H19" s="3">
        <v>-0.40996169999999998</v>
      </c>
      <c r="I19" s="3" t="s">
        <v>0</v>
      </c>
      <c r="J19" s="3"/>
      <c r="K19" s="3">
        <v>22.409185000000001</v>
      </c>
      <c r="L19" s="3">
        <v>1997</v>
      </c>
      <c r="M19" s="3">
        <v>-0.79858779999999996</v>
      </c>
      <c r="N19" s="3" t="s">
        <v>0</v>
      </c>
    </row>
    <row r="20" spans="1:14" x14ac:dyDescent="0.3">
      <c r="A20" s="3">
        <v>27.215204</v>
      </c>
      <c r="B20" s="3">
        <v>1998</v>
      </c>
      <c r="C20" s="3">
        <v>0.91985700000000004</v>
      </c>
      <c r="D20" s="3" t="s">
        <v>0</v>
      </c>
      <c r="E20" s="3"/>
      <c r="F20" s="3">
        <v>30.604517000000001</v>
      </c>
      <c r="G20" s="3">
        <v>1998</v>
      </c>
      <c r="H20" s="3">
        <v>1.22159</v>
      </c>
      <c r="I20" s="3" t="s">
        <v>0</v>
      </c>
      <c r="J20" s="3"/>
      <c r="K20" s="3">
        <v>23.82591</v>
      </c>
      <c r="L20" s="3">
        <v>1998</v>
      </c>
      <c r="M20" s="3">
        <v>0.61813735999999997</v>
      </c>
      <c r="N20" s="3" t="s">
        <v>0</v>
      </c>
    </row>
    <row r="21" spans="1:14" x14ac:dyDescent="0.3">
      <c r="A21" s="3">
        <v>25.795317000000001</v>
      </c>
      <c r="B21" s="3">
        <v>1999</v>
      </c>
      <c r="C21" s="3">
        <v>-0.50003050000000004</v>
      </c>
      <c r="D21" s="3" t="s">
        <v>0</v>
      </c>
      <c r="E21" s="3"/>
      <c r="F21" s="3">
        <v>28.83371</v>
      </c>
      <c r="G21" s="3">
        <v>1999</v>
      </c>
      <c r="H21" s="3">
        <v>-0.54921719999999996</v>
      </c>
      <c r="I21" s="3" t="s">
        <v>0</v>
      </c>
      <c r="J21" s="3"/>
      <c r="K21" s="3">
        <v>22.756891</v>
      </c>
      <c r="L21" s="3">
        <v>1999</v>
      </c>
      <c r="M21" s="3">
        <v>-0.45088196000000003</v>
      </c>
      <c r="N21" s="3" t="s">
        <v>0</v>
      </c>
    </row>
    <row r="22" spans="1:14" x14ac:dyDescent="0.3">
      <c r="A22" s="3">
        <v>25.256187000000001</v>
      </c>
      <c r="B22" s="3">
        <v>2000</v>
      </c>
      <c r="C22" s="3">
        <v>-1.0391598</v>
      </c>
      <c r="D22" s="3" t="s">
        <v>0</v>
      </c>
      <c r="E22" s="3"/>
      <c r="F22" s="3">
        <v>28.228693</v>
      </c>
      <c r="G22" s="3">
        <v>2000</v>
      </c>
      <c r="H22" s="3">
        <v>-1.1542338999999999</v>
      </c>
      <c r="I22" s="3" t="s">
        <v>0</v>
      </c>
      <c r="J22" s="3"/>
      <c r="K22" s="3">
        <v>22.283684000000001</v>
      </c>
      <c r="L22" s="3">
        <v>2000</v>
      </c>
      <c r="M22" s="3">
        <v>-0.92408942999999999</v>
      </c>
      <c r="N22" s="3" t="s">
        <v>0</v>
      </c>
    </row>
    <row r="23" spans="1:14" x14ac:dyDescent="0.3">
      <c r="A23" s="3">
        <v>25.648105999999999</v>
      </c>
      <c r="B23" s="3">
        <v>2001</v>
      </c>
      <c r="C23" s="3">
        <v>-0.64724159999999997</v>
      </c>
      <c r="D23" s="3" t="s">
        <v>0</v>
      </c>
      <c r="E23" s="3"/>
      <c r="F23" s="3">
        <v>29.012957</v>
      </c>
      <c r="G23" s="3">
        <v>2001</v>
      </c>
      <c r="H23" s="3">
        <v>-0.36997032000000002</v>
      </c>
      <c r="I23" s="3" t="s">
        <v>0</v>
      </c>
      <c r="J23" s="3"/>
      <c r="K23" s="3">
        <v>22.283259999999999</v>
      </c>
      <c r="L23" s="3">
        <v>2001</v>
      </c>
      <c r="M23" s="3">
        <v>-0.92451285999999999</v>
      </c>
      <c r="N23" s="3" t="s">
        <v>0</v>
      </c>
    </row>
    <row r="24" spans="1:14" x14ac:dyDescent="0.3">
      <c r="A24" s="3">
        <v>26.455093000000002</v>
      </c>
      <c r="B24" s="3">
        <v>2002</v>
      </c>
      <c r="C24" s="3">
        <v>0.15974616999999999</v>
      </c>
      <c r="D24" s="3" t="s">
        <v>0</v>
      </c>
      <c r="E24" s="3"/>
      <c r="F24" s="3">
        <v>29.644507999999998</v>
      </c>
      <c r="G24" s="3">
        <v>2002</v>
      </c>
      <c r="H24" s="3">
        <v>0.26158142000000001</v>
      </c>
      <c r="I24" s="3" t="s">
        <v>0</v>
      </c>
      <c r="J24" s="3"/>
      <c r="K24" s="3">
        <v>23.26567</v>
      </c>
      <c r="L24" s="3">
        <v>2002</v>
      </c>
      <c r="M24" s="3">
        <v>5.7897568000000003E-2</v>
      </c>
      <c r="N24" s="3" t="s">
        <v>0</v>
      </c>
    </row>
    <row r="25" spans="1:14" x14ac:dyDescent="0.3">
      <c r="A25" s="3">
        <v>26.773672000000001</v>
      </c>
      <c r="B25" s="3">
        <v>2003</v>
      </c>
      <c r="C25" s="3">
        <v>0.4783249</v>
      </c>
      <c r="D25" s="3" t="s">
        <v>0</v>
      </c>
      <c r="E25" s="3"/>
      <c r="F25" s="3">
        <v>30.028117999999999</v>
      </c>
      <c r="G25" s="3">
        <v>2003</v>
      </c>
      <c r="H25" s="3">
        <v>0.64519119999999996</v>
      </c>
      <c r="I25" s="3" t="s">
        <v>0</v>
      </c>
      <c r="J25" s="3"/>
      <c r="K25" s="3">
        <v>23.519210000000001</v>
      </c>
      <c r="L25" s="3">
        <v>2003</v>
      </c>
      <c r="M25" s="3">
        <v>0.31143759999999998</v>
      </c>
      <c r="N25" s="3" t="s">
        <v>0</v>
      </c>
    </row>
    <row r="26" spans="1:14" x14ac:dyDescent="0.3">
      <c r="A26" s="3">
        <v>26.160236000000001</v>
      </c>
      <c r="B26" s="3">
        <v>2004</v>
      </c>
      <c r="C26" s="3">
        <v>-0.13511086</v>
      </c>
      <c r="D26" s="3" t="s">
        <v>0</v>
      </c>
      <c r="E26" s="3"/>
      <c r="F26" s="3">
        <v>29.384674</v>
      </c>
      <c r="G26" s="3">
        <v>2004</v>
      </c>
      <c r="H26" s="3">
        <v>1.7471313E-3</v>
      </c>
      <c r="I26" s="3" t="s">
        <v>0</v>
      </c>
      <c r="J26" s="3"/>
      <c r="K26" s="3">
        <v>22.935773999999999</v>
      </c>
      <c r="L26" s="3">
        <v>2004</v>
      </c>
      <c r="M26" s="3">
        <v>-0.27199936000000002</v>
      </c>
      <c r="N26" s="3" t="s">
        <v>0</v>
      </c>
    </row>
    <row r="27" spans="1:14" x14ac:dyDescent="0.3">
      <c r="A27" s="3">
        <v>26.165361000000001</v>
      </c>
      <c r="B27" s="3">
        <v>2005</v>
      </c>
      <c r="C27" s="3">
        <v>-0.12998581000000001</v>
      </c>
      <c r="D27" s="3" t="s">
        <v>0</v>
      </c>
      <c r="E27" s="3"/>
      <c r="F27" s="3">
        <v>29.02365</v>
      </c>
      <c r="G27" s="3">
        <v>2005</v>
      </c>
      <c r="H27" s="3">
        <v>-0.35927773000000002</v>
      </c>
      <c r="I27" s="3" t="s">
        <v>0</v>
      </c>
      <c r="J27" s="3"/>
      <c r="K27" s="3">
        <v>23.307058000000001</v>
      </c>
      <c r="L27" s="3">
        <v>2005</v>
      </c>
      <c r="M27" s="3">
        <v>9.9285126000000001E-2</v>
      </c>
      <c r="N27" s="3" t="s">
        <v>0</v>
      </c>
    </row>
    <row r="28" spans="1:14" x14ac:dyDescent="0.3">
      <c r="A28" s="3">
        <v>26.255713</v>
      </c>
      <c r="B28" s="3">
        <v>2006</v>
      </c>
      <c r="C28" s="3">
        <v>-3.9634704999999999E-2</v>
      </c>
      <c r="D28" s="3" t="s">
        <v>0</v>
      </c>
      <c r="E28" s="3"/>
      <c r="F28" s="3">
        <v>29.235136000000001</v>
      </c>
      <c r="G28" s="3">
        <v>2006</v>
      </c>
      <c r="H28" s="3">
        <v>-0.14779091</v>
      </c>
      <c r="I28" s="3" t="s">
        <v>0</v>
      </c>
      <c r="J28" s="3"/>
      <c r="K28" s="3">
        <v>23.27628</v>
      </c>
      <c r="L28" s="3">
        <v>2006</v>
      </c>
      <c r="M28" s="3">
        <v>6.8506239999999996E-2</v>
      </c>
      <c r="N28" s="3" t="s">
        <v>0</v>
      </c>
    </row>
    <row r="29" spans="1:14" x14ac:dyDescent="0.3">
      <c r="A29" s="3">
        <v>26.949117999999999</v>
      </c>
      <c r="B29" s="3">
        <v>2007</v>
      </c>
      <c r="C29" s="3">
        <v>0.65377045</v>
      </c>
      <c r="D29" s="3" t="s">
        <v>0</v>
      </c>
      <c r="E29" s="3"/>
      <c r="F29" s="3">
        <v>29.924477</v>
      </c>
      <c r="G29" s="3">
        <v>2007</v>
      </c>
      <c r="H29" s="3">
        <v>0.54154970000000002</v>
      </c>
      <c r="I29" s="3" t="s">
        <v>0</v>
      </c>
      <c r="J29" s="3"/>
      <c r="K29" s="3">
        <v>23.973697999999999</v>
      </c>
      <c r="L29" s="3">
        <v>2007</v>
      </c>
      <c r="M29" s="3">
        <v>0.76592444999999998</v>
      </c>
      <c r="N29" s="3" t="s">
        <v>0</v>
      </c>
    </row>
    <row r="30" spans="1:14" x14ac:dyDescent="0.3">
      <c r="A30" s="3">
        <v>26.036186000000001</v>
      </c>
      <c r="B30" s="3">
        <v>2008</v>
      </c>
      <c r="C30" s="3">
        <v>-0.25916099999999997</v>
      </c>
      <c r="D30" s="3" t="s">
        <v>0</v>
      </c>
      <c r="E30" s="3"/>
      <c r="F30" s="3">
        <v>29.205995999999999</v>
      </c>
      <c r="G30" s="3">
        <v>2008</v>
      </c>
      <c r="H30" s="3">
        <v>-0.17693138</v>
      </c>
      <c r="I30" s="3" t="s">
        <v>0</v>
      </c>
      <c r="J30" s="3"/>
      <c r="K30" s="3">
        <v>22.866371000000001</v>
      </c>
      <c r="L30" s="3">
        <v>2008</v>
      </c>
      <c r="M30" s="3">
        <v>-0.34140205000000001</v>
      </c>
      <c r="N30" s="3" t="s">
        <v>0</v>
      </c>
    </row>
    <row r="31" spans="1:14" x14ac:dyDescent="0.3">
      <c r="A31" s="3">
        <v>26.033266000000001</v>
      </c>
      <c r="B31" s="3">
        <v>2009</v>
      </c>
      <c r="C31" s="3">
        <v>-0.26208114999999998</v>
      </c>
      <c r="D31" s="3" t="s">
        <v>0</v>
      </c>
      <c r="E31" s="3"/>
      <c r="F31" s="3">
        <v>28.888508000000002</v>
      </c>
      <c r="G31" s="3">
        <v>2009</v>
      </c>
      <c r="H31" s="3">
        <v>-0.4944191</v>
      </c>
      <c r="I31" s="3" t="s">
        <v>0</v>
      </c>
      <c r="J31" s="3"/>
      <c r="K31" s="3">
        <v>23.178051</v>
      </c>
      <c r="L31" s="3">
        <v>2009</v>
      </c>
      <c r="M31" s="3">
        <v>-2.9722214E-2</v>
      </c>
      <c r="N31" s="3" t="s">
        <v>0</v>
      </c>
    </row>
    <row r="32" spans="1:14" x14ac:dyDescent="0.3">
      <c r="A32" s="3">
        <v>27.059422999999999</v>
      </c>
      <c r="B32" s="3">
        <v>2010</v>
      </c>
      <c r="C32" s="3">
        <v>0.76407623000000002</v>
      </c>
      <c r="D32" s="3" t="s">
        <v>0</v>
      </c>
      <c r="E32" s="3"/>
      <c r="F32" s="3">
        <v>30.213509999999999</v>
      </c>
      <c r="G32" s="3">
        <v>2010</v>
      </c>
      <c r="H32" s="3">
        <v>0.83058359999999998</v>
      </c>
      <c r="I32" s="3" t="s">
        <v>0</v>
      </c>
      <c r="J32" s="3"/>
      <c r="K32" s="3">
        <v>23.905346000000002</v>
      </c>
      <c r="L32" s="3">
        <v>2010</v>
      </c>
      <c r="M32" s="3">
        <v>0.69757270000000005</v>
      </c>
      <c r="N32" s="3" t="s">
        <v>0</v>
      </c>
    </row>
    <row r="33" spans="1:14" x14ac:dyDescent="0.3">
      <c r="A33" s="3">
        <v>26.110533</v>
      </c>
      <c r="B33" s="3">
        <v>2011</v>
      </c>
      <c r="C33" s="3">
        <v>-0.18481444999999999</v>
      </c>
      <c r="D33" s="3" t="s">
        <v>0</v>
      </c>
      <c r="E33" s="3"/>
      <c r="F33" s="3">
        <v>29.138393000000001</v>
      </c>
      <c r="G33" s="3">
        <v>2011</v>
      </c>
      <c r="H33" s="3">
        <v>-0.24453353999999999</v>
      </c>
      <c r="I33" s="3" t="s">
        <v>0</v>
      </c>
      <c r="J33" s="3"/>
      <c r="K33" s="3">
        <v>23.082722</v>
      </c>
      <c r="L33" s="3">
        <v>2011</v>
      </c>
      <c r="M33" s="3">
        <v>-0.12505150000000001</v>
      </c>
      <c r="N33" s="3" t="s">
        <v>0</v>
      </c>
    </row>
    <row r="34" spans="1:14" x14ac:dyDescent="0.3">
      <c r="A34" s="3">
        <v>26.130247000000001</v>
      </c>
      <c r="B34" s="3">
        <v>2012</v>
      </c>
      <c r="C34" s="3">
        <v>-0.1651001</v>
      </c>
      <c r="D34" s="3" t="s">
        <v>0</v>
      </c>
      <c r="E34" s="3"/>
      <c r="F34" s="3">
        <v>29.191319</v>
      </c>
      <c r="G34" s="3">
        <v>2012</v>
      </c>
      <c r="H34" s="3">
        <v>-0.19160843</v>
      </c>
      <c r="I34" s="3" t="s">
        <v>0</v>
      </c>
      <c r="J34" s="3"/>
      <c r="K34" s="3">
        <v>23.069202000000001</v>
      </c>
      <c r="L34" s="3">
        <v>2012</v>
      </c>
      <c r="M34" s="3">
        <v>-0.13857079</v>
      </c>
      <c r="N34" s="3" t="s">
        <v>0</v>
      </c>
    </row>
    <row r="35" spans="1:14" x14ac:dyDescent="0.3">
      <c r="A35" s="3">
        <v>26.705238000000001</v>
      </c>
      <c r="B35" s="3">
        <v>2013</v>
      </c>
      <c r="C35" s="3">
        <v>0.40989112999999999</v>
      </c>
      <c r="D35" s="3" t="s">
        <v>0</v>
      </c>
      <c r="E35" s="3"/>
      <c r="F35" s="3">
        <v>29.71311</v>
      </c>
      <c r="G35" s="3">
        <v>2013</v>
      </c>
      <c r="H35" s="3">
        <v>0.33018302999999999</v>
      </c>
      <c r="I35" s="3" t="s">
        <v>0</v>
      </c>
      <c r="J35" s="3"/>
      <c r="K35" s="3">
        <v>23.697368999999998</v>
      </c>
      <c r="L35" s="3">
        <v>2013</v>
      </c>
      <c r="M35" s="3">
        <v>0.48959540000000001</v>
      </c>
      <c r="N35" s="3" t="s">
        <v>0</v>
      </c>
    </row>
    <row r="36" spans="1:14" x14ac:dyDescent="0.3">
      <c r="A36" s="3">
        <v>26.512104000000001</v>
      </c>
      <c r="B36" s="3">
        <v>2014</v>
      </c>
      <c r="C36" s="3">
        <v>0.21675681999999999</v>
      </c>
      <c r="D36" s="3" t="s">
        <v>0</v>
      </c>
      <c r="E36" s="3"/>
      <c r="F36" s="3">
        <v>29.443940999999999</v>
      </c>
      <c r="G36" s="3">
        <v>2014</v>
      </c>
      <c r="H36" s="3">
        <v>6.1014174999999997E-2</v>
      </c>
      <c r="I36" s="3" t="s">
        <v>0</v>
      </c>
      <c r="J36" s="3"/>
      <c r="K36" s="3">
        <v>23.580279999999998</v>
      </c>
      <c r="L36" s="3">
        <v>2014</v>
      </c>
      <c r="M36" s="3">
        <v>0.37250709999999998</v>
      </c>
      <c r="N36" s="3" t="s">
        <v>0</v>
      </c>
    </row>
    <row r="37" spans="1:14" x14ac:dyDescent="0.3">
      <c r="A37" s="3">
        <v>26.873373000000001</v>
      </c>
      <c r="B37" s="3">
        <v>2015</v>
      </c>
      <c r="C37" s="3">
        <v>0.57802580000000003</v>
      </c>
      <c r="D37" s="3" t="s">
        <v>0</v>
      </c>
      <c r="E37" s="3"/>
      <c r="F37" s="3">
        <v>29.661135000000002</v>
      </c>
      <c r="G37" s="3">
        <v>2015</v>
      </c>
      <c r="H37" s="3">
        <v>0.27820778000000002</v>
      </c>
      <c r="I37" s="3" t="s">
        <v>0</v>
      </c>
      <c r="J37" s="3"/>
      <c r="K37" s="3">
        <v>24.085608000000001</v>
      </c>
      <c r="L37" s="3">
        <v>2015</v>
      </c>
      <c r="M37" s="3">
        <v>0.87783429999999996</v>
      </c>
      <c r="N37" s="3" t="s">
        <v>0</v>
      </c>
    </row>
    <row r="38" spans="1:14" x14ac:dyDescent="0.3">
      <c r="A38" s="3">
        <v>27.410425</v>
      </c>
      <c r="B38" s="3">
        <v>2016</v>
      </c>
      <c r="C38" s="3">
        <v>1.115078</v>
      </c>
      <c r="D38" s="3" t="s">
        <v>0</v>
      </c>
      <c r="E38" s="3"/>
      <c r="F38" s="3">
        <v>30.779102000000002</v>
      </c>
      <c r="G38" s="3">
        <v>2016</v>
      </c>
      <c r="H38" s="3">
        <v>1.3961754</v>
      </c>
      <c r="I38" s="3" t="s">
        <v>0</v>
      </c>
      <c r="J38" s="3"/>
      <c r="K38" s="3">
        <v>24.041772999999999</v>
      </c>
      <c r="L38" s="3">
        <v>2016</v>
      </c>
      <c r="M38" s="3">
        <v>0.83399962999999999</v>
      </c>
      <c r="N38" s="3" t="s">
        <v>0</v>
      </c>
    </row>
    <row r="39" spans="1:14" x14ac:dyDescent="0.3">
      <c r="A39" s="3">
        <v>26.373562</v>
      </c>
      <c r="B39" s="3">
        <v>2017</v>
      </c>
      <c r="C39" s="3">
        <v>7.8214644999999999E-2</v>
      </c>
      <c r="D39" s="3" t="s">
        <v>0</v>
      </c>
      <c r="E39" s="3"/>
      <c r="F39" s="3">
        <v>29.629110000000001</v>
      </c>
      <c r="G39" s="3">
        <v>2017</v>
      </c>
      <c r="H39" s="3">
        <v>0.2461834</v>
      </c>
      <c r="I39" s="3" t="s">
        <v>0</v>
      </c>
      <c r="J39" s="3"/>
      <c r="K39" s="3">
        <v>23.117996000000002</v>
      </c>
      <c r="L39" s="3">
        <v>2017</v>
      </c>
      <c r="M39" s="3">
        <v>-8.9776990000000001E-2</v>
      </c>
      <c r="N39" s="3" t="s">
        <v>0</v>
      </c>
    </row>
    <row r="40" spans="1:14" x14ac:dyDescent="0.3">
      <c r="A40" s="3">
        <v>26.198795</v>
      </c>
      <c r="B40" s="3">
        <v>2018</v>
      </c>
      <c r="C40" s="3">
        <v>-9.6551894999999999E-2</v>
      </c>
      <c r="D40" s="3" t="s">
        <v>0</v>
      </c>
      <c r="E40" s="3"/>
      <c r="F40" s="3">
        <v>28.958603</v>
      </c>
      <c r="G40" s="3">
        <v>2018</v>
      </c>
      <c r="H40" s="3">
        <v>-0.42432404000000001</v>
      </c>
      <c r="I40" s="3" t="s">
        <v>0</v>
      </c>
      <c r="J40" s="3"/>
      <c r="K40" s="3">
        <v>23.438946000000001</v>
      </c>
      <c r="L40" s="3">
        <v>2018</v>
      </c>
      <c r="M40" s="3">
        <v>0.23117256</v>
      </c>
      <c r="N40" s="3" t="s">
        <v>0</v>
      </c>
    </row>
    <row r="41" spans="1:14" x14ac:dyDescent="0.3">
      <c r="A41" s="3">
        <v>26.702294999999999</v>
      </c>
      <c r="B41" s="3">
        <v>2019</v>
      </c>
      <c r="C41" s="3">
        <v>0.40694809999999998</v>
      </c>
      <c r="D41" s="3" t="s">
        <v>0</v>
      </c>
      <c r="E41" s="3"/>
      <c r="F41" s="3">
        <v>29.848509</v>
      </c>
      <c r="G41" s="3">
        <v>2019</v>
      </c>
      <c r="H41" s="3">
        <v>0.46558189999999999</v>
      </c>
      <c r="I41" s="3" t="s">
        <v>0</v>
      </c>
      <c r="J41" s="3"/>
      <c r="K41" s="3">
        <v>23.556065</v>
      </c>
      <c r="L41" s="3">
        <v>2019</v>
      </c>
      <c r="M41" s="3">
        <v>0.34829139999999997</v>
      </c>
      <c r="N41" s="3" t="s">
        <v>0</v>
      </c>
    </row>
    <row r="42" spans="1:14" x14ac:dyDescent="0.3">
      <c r="A42" s="3">
        <v>26.974799999999998</v>
      </c>
      <c r="B42" s="3">
        <v>2020</v>
      </c>
      <c r="C42" s="3">
        <v>0.67945290000000003</v>
      </c>
      <c r="D42" s="3" t="s">
        <v>0</v>
      </c>
      <c r="E42" s="3"/>
      <c r="F42" s="3">
        <v>29.978825000000001</v>
      </c>
      <c r="G42" s="3">
        <v>2020</v>
      </c>
      <c r="H42" s="3">
        <v>0.59589769999999997</v>
      </c>
      <c r="I42" s="3" t="s">
        <v>0</v>
      </c>
      <c r="J42" s="3"/>
      <c r="K42" s="3">
        <v>23.970801999999999</v>
      </c>
      <c r="L42" s="3">
        <v>2020</v>
      </c>
      <c r="M42" s="3">
        <v>0.76302910000000002</v>
      </c>
      <c r="N42" s="3" t="s">
        <v>0</v>
      </c>
    </row>
    <row r="43" spans="1:14" x14ac:dyDescent="0.3">
      <c r="A43" s="3">
        <v>26.393621</v>
      </c>
      <c r="B43" s="3">
        <v>2021</v>
      </c>
      <c r="C43" s="3">
        <v>9.8274230000000004E-2</v>
      </c>
      <c r="D43" s="3" t="s">
        <v>0</v>
      </c>
      <c r="E43" s="3"/>
      <c r="F43" s="3">
        <v>29.437239000000002</v>
      </c>
      <c r="G43" s="3">
        <v>2021</v>
      </c>
      <c r="H43" s="3">
        <v>5.4311751999999998E-2</v>
      </c>
      <c r="I43" s="3" t="s">
        <v>0</v>
      </c>
      <c r="J43" s="3"/>
      <c r="K43" s="3">
        <v>23.349964</v>
      </c>
      <c r="L43" s="3">
        <v>2021</v>
      </c>
      <c r="M43" s="3">
        <v>0.14219092999999999</v>
      </c>
      <c r="N43" s="3" t="s">
        <v>0</v>
      </c>
    </row>
    <row r="44" spans="1:14" x14ac:dyDescent="0.3">
      <c r="A44" s="3">
        <v>26.137604</v>
      </c>
      <c r="B44" s="3">
        <v>2022</v>
      </c>
      <c r="C44" s="3">
        <v>-0.15774345000000001</v>
      </c>
      <c r="D44" s="3" t="s">
        <v>0</v>
      </c>
      <c r="E44" s="3"/>
      <c r="F44" s="3">
        <v>29.292334</v>
      </c>
      <c r="G44" s="3">
        <v>2022</v>
      </c>
      <c r="H44" s="3">
        <v>-9.0593339999999994E-2</v>
      </c>
      <c r="I44" s="3" t="s">
        <v>0</v>
      </c>
      <c r="J44" s="3"/>
      <c r="K44" s="3">
        <v>22.982900000000001</v>
      </c>
      <c r="L44" s="3">
        <v>2022</v>
      </c>
      <c r="M44" s="3">
        <v>-0.22487259000000001</v>
      </c>
      <c r="N44" s="3" t="s">
        <v>0</v>
      </c>
    </row>
    <row r="45" spans="1:14" x14ac:dyDescent="0.3">
      <c r="A45" s="3">
        <v>26.110077</v>
      </c>
      <c r="B45" s="3">
        <v>2023</v>
      </c>
      <c r="C45" s="3">
        <v>-0.18527030999999999</v>
      </c>
      <c r="D45" s="3" t="s">
        <v>0</v>
      </c>
      <c r="E45" s="3"/>
      <c r="F45" s="3">
        <v>29.146968999999999</v>
      </c>
      <c r="G45" s="3">
        <v>2023</v>
      </c>
      <c r="H45" s="3">
        <v>-0.2359581</v>
      </c>
      <c r="I45" s="3" t="s">
        <v>0</v>
      </c>
      <c r="J45" s="3"/>
      <c r="K45" s="3">
        <v>23.073225000000001</v>
      </c>
      <c r="L45" s="3">
        <v>2023</v>
      </c>
      <c r="M45" s="3">
        <v>-0.13454819000000001</v>
      </c>
      <c r="N45" s="3" t="s">
        <v>0</v>
      </c>
    </row>
    <row r="46" spans="1:14" x14ac:dyDescent="0.3">
      <c r="A46" s="3">
        <v>27.709493999999999</v>
      </c>
      <c r="B46" s="3">
        <v>2024</v>
      </c>
      <c r="C46" s="3">
        <v>1.4141463999999999</v>
      </c>
      <c r="D46" s="3" t="s">
        <v>0</v>
      </c>
      <c r="E46" s="3"/>
      <c r="F46" s="3">
        <v>30.877459000000002</v>
      </c>
      <c r="G46" s="3">
        <v>2024</v>
      </c>
      <c r="H46" s="3">
        <v>1.4945316</v>
      </c>
      <c r="I46" s="3" t="s">
        <v>0</v>
      </c>
      <c r="J46" s="3"/>
      <c r="K46" s="3">
        <v>24.541537999999999</v>
      </c>
      <c r="L46" s="3">
        <v>2024</v>
      </c>
      <c r="M46" s="3">
        <v>1.3337650000000001</v>
      </c>
      <c r="N46" s="3" t="s">
        <v>0</v>
      </c>
    </row>
    <row r="47" spans="1:14" x14ac:dyDescent="0.3">
      <c r="A47" s="3">
        <v>26.696173000000002</v>
      </c>
      <c r="B47" s="3">
        <v>2025</v>
      </c>
      <c r="C47" s="3">
        <v>0.4008255</v>
      </c>
      <c r="D47" s="3" t="s">
        <v>0</v>
      </c>
      <c r="E47" s="3"/>
      <c r="F47" s="3">
        <v>29.622744000000001</v>
      </c>
      <c r="G47" s="3">
        <v>2025</v>
      </c>
      <c r="H47" s="3">
        <v>0.23981667000000001</v>
      </c>
      <c r="I47" s="3" t="s">
        <v>0</v>
      </c>
      <c r="J47" s="3"/>
      <c r="K47" s="3">
        <v>23.769570000000002</v>
      </c>
      <c r="L47" s="3">
        <v>2025</v>
      </c>
      <c r="M47" s="3">
        <v>0.56179619999999997</v>
      </c>
      <c r="N47" s="3" t="s">
        <v>0</v>
      </c>
    </row>
    <row r="48" spans="1:14" x14ac:dyDescent="0.3">
      <c r="A48" s="3">
        <v>26.373127</v>
      </c>
      <c r="B48" s="3">
        <v>1981</v>
      </c>
      <c r="C48" s="3">
        <v>8.6923600000000004E-2</v>
      </c>
      <c r="D48" s="3" t="s">
        <v>1</v>
      </c>
      <c r="E48" s="3"/>
      <c r="F48" s="3">
        <v>29.584714999999999</v>
      </c>
      <c r="G48" s="3">
        <v>1981</v>
      </c>
      <c r="H48" s="3">
        <v>6.3417434999999994E-2</v>
      </c>
      <c r="I48" s="3" t="s">
        <v>1</v>
      </c>
      <c r="J48" s="3"/>
      <c r="K48" s="3">
        <v>23.161508999999999</v>
      </c>
      <c r="L48" s="3">
        <v>1981</v>
      </c>
      <c r="M48" s="3">
        <v>0.11039734</v>
      </c>
      <c r="N48" s="3" t="s">
        <v>1</v>
      </c>
    </row>
    <row r="49" spans="1:14" x14ac:dyDescent="0.3">
      <c r="A49" s="3">
        <v>26.144804000000001</v>
      </c>
      <c r="B49" s="3">
        <v>1982</v>
      </c>
      <c r="C49" s="3">
        <v>-0.14139937999999999</v>
      </c>
      <c r="D49" s="3" t="s">
        <v>1</v>
      </c>
      <c r="E49" s="3"/>
      <c r="F49" s="3">
        <v>29.308710000000001</v>
      </c>
      <c r="G49" s="3">
        <v>1982</v>
      </c>
      <c r="H49" s="3">
        <v>-0.21258736</v>
      </c>
      <c r="I49" s="3" t="s">
        <v>1</v>
      </c>
      <c r="J49" s="3"/>
      <c r="K49" s="3">
        <v>22.980896000000001</v>
      </c>
      <c r="L49" s="3">
        <v>1982</v>
      </c>
      <c r="M49" s="3">
        <v>-7.0215225000000006E-2</v>
      </c>
      <c r="N49" s="3" t="s">
        <v>1</v>
      </c>
    </row>
    <row r="50" spans="1:14" x14ac:dyDescent="0.3">
      <c r="A50" s="3">
        <v>26.728850999999999</v>
      </c>
      <c r="B50" s="3">
        <v>1983</v>
      </c>
      <c r="C50" s="3">
        <v>0.44264793000000002</v>
      </c>
      <c r="D50" s="3" t="s">
        <v>1</v>
      </c>
      <c r="E50" s="3"/>
      <c r="F50" s="3">
        <v>30.058593999999999</v>
      </c>
      <c r="G50" s="3">
        <v>1983</v>
      </c>
      <c r="H50" s="3">
        <v>0.53729629999999995</v>
      </c>
      <c r="I50" s="3" t="s">
        <v>1</v>
      </c>
      <c r="J50" s="3"/>
      <c r="K50" s="3">
        <v>23.399090000000001</v>
      </c>
      <c r="L50" s="3">
        <v>1983</v>
      </c>
      <c r="M50" s="3">
        <v>0.34797860000000003</v>
      </c>
      <c r="N50" s="3" t="s">
        <v>1</v>
      </c>
    </row>
    <row r="51" spans="1:14" x14ac:dyDescent="0.3">
      <c r="A51" s="3">
        <v>25.609995000000001</v>
      </c>
      <c r="B51" s="3">
        <v>1984</v>
      </c>
      <c r="C51" s="3">
        <v>-0.67620849999999999</v>
      </c>
      <c r="D51" s="3" t="s">
        <v>1</v>
      </c>
      <c r="E51" s="3"/>
      <c r="F51" s="3">
        <v>28.611094000000001</v>
      </c>
      <c r="G51" s="3">
        <v>1984</v>
      </c>
      <c r="H51" s="3">
        <v>-0.91020392999999999</v>
      </c>
      <c r="I51" s="3" t="s">
        <v>1</v>
      </c>
      <c r="J51" s="3"/>
      <c r="K51" s="3">
        <v>22.608858000000001</v>
      </c>
      <c r="L51" s="3">
        <v>1984</v>
      </c>
      <c r="M51" s="3">
        <v>-0.44225310000000001</v>
      </c>
      <c r="N51" s="3" t="s">
        <v>1</v>
      </c>
    </row>
    <row r="52" spans="1:14" x14ac:dyDescent="0.3">
      <c r="A52" s="3">
        <v>25.842521999999999</v>
      </c>
      <c r="B52" s="3">
        <v>1985</v>
      </c>
      <c r="C52" s="3">
        <v>-0.44368172</v>
      </c>
      <c r="D52" s="3" t="s">
        <v>1</v>
      </c>
      <c r="E52" s="3"/>
      <c r="F52" s="3">
        <v>29.031122</v>
      </c>
      <c r="G52" s="3">
        <v>1985</v>
      </c>
      <c r="H52" s="3">
        <v>-0.49017525000000001</v>
      </c>
      <c r="I52" s="3" t="s">
        <v>1</v>
      </c>
      <c r="J52" s="3"/>
      <c r="K52" s="3">
        <v>22.653880999999998</v>
      </c>
      <c r="L52" s="3">
        <v>1985</v>
      </c>
      <c r="M52" s="3">
        <v>-0.39723015</v>
      </c>
      <c r="N52" s="3" t="s">
        <v>1</v>
      </c>
    </row>
    <row r="53" spans="1:14" x14ac:dyDescent="0.3">
      <c r="A53" s="3">
        <v>25.456993000000001</v>
      </c>
      <c r="B53" s="3">
        <v>1986</v>
      </c>
      <c r="C53" s="3">
        <v>-0.82921029999999996</v>
      </c>
      <c r="D53" s="3" t="s">
        <v>1</v>
      </c>
      <c r="E53" s="3"/>
      <c r="F53" s="3">
        <v>29.042674999999999</v>
      </c>
      <c r="G53" s="3">
        <v>1986</v>
      </c>
      <c r="H53" s="3">
        <v>-0.47862243999999998</v>
      </c>
      <c r="I53" s="3" t="s">
        <v>1</v>
      </c>
      <c r="J53" s="3"/>
      <c r="K53" s="3">
        <v>21.871327999999998</v>
      </c>
      <c r="L53" s="3">
        <v>1986</v>
      </c>
      <c r="M53" s="3">
        <v>-1.1797829</v>
      </c>
      <c r="N53" s="3" t="s">
        <v>1</v>
      </c>
    </row>
    <row r="54" spans="1:14" x14ac:dyDescent="0.3">
      <c r="A54" s="3">
        <v>26.539187999999999</v>
      </c>
      <c r="B54" s="3">
        <v>1987</v>
      </c>
      <c r="C54" s="3">
        <v>0.25298500000000002</v>
      </c>
      <c r="D54" s="3" t="s">
        <v>1</v>
      </c>
      <c r="E54" s="3"/>
      <c r="F54" s="3">
        <v>29.813044000000001</v>
      </c>
      <c r="G54" s="3">
        <v>1987</v>
      </c>
      <c r="H54" s="3">
        <v>0.29174613999999999</v>
      </c>
      <c r="I54" s="3" t="s">
        <v>1</v>
      </c>
      <c r="J54" s="3"/>
      <c r="K54" s="3">
        <v>23.265319999999999</v>
      </c>
      <c r="L54" s="3">
        <v>1987</v>
      </c>
      <c r="M54" s="3">
        <v>0.2142086</v>
      </c>
      <c r="N54" s="3" t="s">
        <v>1</v>
      </c>
    </row>
    <row r="55" spans="1:14" x14ac:dyDescent="0.3">
      <c r="A55" s="3">
        <v>26.216412999999999</v>
      </c>
      <c r="B55" s="3">
        <v>1988</v>
      </c>
      <c r="C55" s="3">
        <v>-6.9789889999999993E-2</v>
      </c>
      <c r="D55" s="3" t="s">
        <v>1</v>
      </c>
      <c r="E55" s="3"/>
      <c r="F55" s="3">
        <v>29.384651000000002</v>
      </c>
      <c r="G55" s="3">
        <v>1988</v>
      </c>
      <c r="H55" s="3">
        <v>-0.13664626999999999</v>
      </c>
      <c r="I55" s="3" t="s">
        <v>1</v>
      </c>
      <c r="J55" s="3"/>
      <c r="K55" s="3">
        <v>23.048131999999999</v>
      </c>
      <c r="L55" s="3">
        <v>1988</v>
      </c>
      <c r="M55" s="3">
        <v>-2.9792785999999999E-3</v>
      </c>
      <c r="N55" s="3" t="s">
        <v>1</v>
      </c>
    </row>
    <row r="56" spans="1:14" x14ac:dyDescent="0.3">
      <c r="A56" s="3">
        <v>25.316603000000001</v>
      </c>
      <c r="B56" s="3">
        <v>1989</v>
      </c>
      <c r="C56" s="3">
        <v>-0.96960069999999998</v>
      </c>
      <c r="D56" s="3" t="s">
        <v>1</v>
      </c>
      <c r="E56" s="3"/>
      <c r="F56" s="3">
        <v>28.589797999999998</v>
      </c>
      <c r="G56" s="3">
        <v>1989</v>
      </c>
      <c r="H56" s="3">
        <v>-0.93149950000000004</v>
      </c>
      <c r="I56" s="3" t="s">
        <v>1</v>
      </c>
      <c r="J56" s="3"/>
      <c r="K56" s="3">
        <v>22.043406000000001</v>
      </c>
      <c r="L56" s="3">
        <v>1989</v>
      </c>
      <c r="M56" s="3">
        <v>-1.0077057</v>
      </c>
      <c r="N56" s="3" t="s">
        <v>1</v>
      </c>
    </row>
    <row r="57" spans="1:14" x14ac:dyDescent="0.3">
      <c r="A57" s="3">
        <v>25.644477999999999</v>
      </c>
      <c r="B57" s="3">
        <v>1990</v>
      </c>
      <c r="C57" s="3">
        <v>-0.64172554000000004</v>
      </c>
      <c r="D57" s="3" t="s">
        <v>1</v>
      </c>
      <c r="E57" s="3"/>
      <c r="F57" s="3">
        <v>28.919454999999999</v>
      </c>
      <c r="G57" s="3">
        <v>1990</v>
      </c>
      <c r="H57" s="3">
        <v>-0.60184289999999996</v>
      </c>
      <c r="I57" s="3" t="s">
        <v>1</v>
      </c>
      <c r="J57" s="3"/>
      <c r="K57" s="3">
        <v>22.369513999999999</v>
      </c>
      <c r="L57" s="3">
        <v>1990</v>
      </c>
      <c r="M57" s="3">
        <v>-0.68159676000000002</v>
      </c>
      <c r="N57" s="3" t="s">
        <v>1</v>
      </c>
    </row>
    <row r="58" spans="1:14" x14ac:dyDescent="0.3">
      <c r="A58" s="3">
        <v>26.09816</v>
      </c>
      <c r="B58" s="3">
        <v>1991</v>
      </c>
      <c r="C58" s="3">
        <v>-0.18804360000000001</v>
      </c>
      <c r="D58" s="3" t="s">
        <v>1</v>
      </c>
      <c r="E58" s="3"/>
      <c r="F58" s="3">
        <v>29.067941999999999</v>
      </c>
      <c r="G58" s="3">
        <v>1991</v>
      </c>
      <c r="H58" s="3">
        <v>-0.45335579999999998</v>
      </c>
      <c r="I58" s="3" t="s">
        <v>1</v>
      </c>
      <c r="J58" s="3"/>
      <c r="K58" s="3">
        <v>23.128366</v>
      </c>
      <c r="L58" s="3">
        <v>1991</v>
      </c>
      <c r="M58" s="3">
        <v>7.7255249999999998E-2</v>
      </c>
      <c r="N58" s="3" t="s">
        <v>1</v>
      </c>
    </row>
    <row r="59" spans="1:14" x14ac:dyDescent="0.3">
      <c r="A59" s="3">
        <v>26.197417999999999</v>
      </c>
      <c r="B59" s="3">
        <v>1992</v>
      </c>
      <c r="C59" s="3">
        <v>-8.8785169999999997E-2</v>
      </c>
      <c r="D59" s="3" t="s">
        <v>1</v>
      </c>
      <c r="E59" s="3"/>
      <c r="F59" s="3">
        <v>29.490158000000001</v>
      </c>
      <c r="G59" s="3">
        <v>1992</v>
      </c>
      <c r="H59" s="3">
        <v>-3.1139374000000001E-2</v>
      </c>
      <c r="I59" s="3" t="s">
        <v>1</v>
      </c>
      <c r="J59" s="3"/>
      <c r="K59" s="3">
        <v>22.904654000000001</v>
      </c>
      <c r="L59" s="3">
        <v>1992</v>
      </c>
      <c r="M59" s="3">
        <v>-0.14645767000000001</v>
      </c>
      <c r="N59" s="3" t="s">
        <v>1</v>
      </c>
    </row>
    <row r="60" spans="1:14" x14ac:dyDescent="0.3">
      <c r="A60" s="3">
        <v>25.835657000000001</v>
      </c>
      <c r="B60" s="3">
        <v>1993</v>
      </c>
      <c r="C60" s="3">
        <v>-0.45054625999999998</v>
      </c>
      <c r="D60" s="3" t="s">
        <v>1</v>
      </c>
      <c r="E60" s="3"/>
      <c r="F60" s="3">
        <v>29.299109000000001</v>
      </c>
      <c r="G60" s="3">
        <v>1993</v>
      </c>
      <c r="H60" s="3">
        <v>-0.22218895</v>
      </c>
      <c r="I60" s="3" t="s">
        <v>1</v>
      </c>
      <c r="J60" s="3"/>
      <c r="K60" s="3">
        <v>22.372195999999999</v>
      </c>
      <c r="L60" s="3">
        <v>1993</v>
      </c>
      <c r="M60" s="3">
        <v>-0.67891500000000005</v>
      </c>
      <c r="N60" s="3" t="s">
        <v>1</v>
      </c>
    </row>
    <row r="61" spans="1:14" x14ac:dyDescent="0.3">
      <c r="A61" s="3">
        <v>25.812742</v>
      </c>
      <c r="B61" s="3">
        <v>1994</v>
      </c>
      <c r="C61" s="3">
        <v>-0.47346115</v>
      </c>
      <c r="D61" s="3" t="s">
        <v>1</v>
      </c>
      <c r="E61" s="3"/>
      <c r="F61" s="3">
        <v>29.244540000000001</v>
      </c>
      <c r="G61" s="3">
        <v>1994</v>
      </c>
      <c r="H61" s="3">
        <v>-0.27675820000000001</v>
      </c>
      <c r="I61" s="3" t="s">
        <v>1</v>
      </c>
      <c r="J61" s="3"/>
      <c r="K61" s="3">
        <v>22.380932000000001</v>
      </c>
      <c r="L61" s="3">
        <v>1994</v>
      </c>
      <c r="M61" s="3">
        <v>-0.67017937000000005</v>
      </c>
      <c r="N61" s="3" t="s">
        <v>1</v>
      </c>
    </row>
    <row r="62" spans="1:14" x14ac:dyDescent="0.3">
      <c r="A62" s="3">
        <v>25.986246000000001</v>
      </c>
      <c r="B62" s="3">
        <v>1995</v>
      </c>
      <c r="C62" s="3">
        <v>-0.29995727999999999</v>
      </c>
      <c r="D62" s="3" t="s">
        <v>1</v>
      </c>
      <c r="E62" s="3"/>
      <c r="F62" s="3">
        <v>29.77477</v>
      </c>
      <c r="G62" s="3">
        <v>1995</v>
      </c>
      <c r="H62" s="3">
        <v>0.25347328000000002</v>
      </c>
      <c r="I62" s="3" t="s">
        <v>1</v>
      </c>
      <c r="J62" s="3"/>
      <c r="K62" s="3">
        <v>22.197723</v>
      </c>
      <c r="L62" s="3">
        <v>1995</v>
      </c>
      <c r="M62" s="3">
        <v>-0.85338782999999996</v>
      </c>
      <c r="N62" s="3" t="s">
        <v>1</v>
      </c>
    </row>
    <row r="63" spans="1:14" x14ac:dyDescent="0.3">
      <c r="A63" s="3">
        <v>25.747723000000001</v>
      </c>
      <c r="B63" s="3">
        <v>1996</v>
      </c>
      <c r="C63" s="3">
        <v>-0.53848076</v>
      </c>
      <c r="D63" s="3" t="s">
        <v>1</v>
      </c>
      <c r="E63" s="3"/>
      <c r="F63" s="3">
        <v>28.727125000000001</v>
      </c>
      <c r="G63" s="3">
        <v>1996</v>
      </c>
      <c r="H63" s="3">
        <v>-0.79417230000000005</v>
      </c>
      <c r="I63" s="3" t="s">
        <v>1</v>
      </c>
      <c r="J63" s="3"/>
      <c r="K63" s="3">
        <v>22.768287999999998</v>
      </c>
      <c r="L63" s="3">
        <v>1996</v>
      </c>
      <c r="M63" s="3">
        <v>-0.28282355999999997</v>
      </c>
      <c r="N63" s="3" t="s">
        <v>1</v>
      </c>
    </row>
    <row r="64" spans="1:14" x14ac:dyDescent="0.3">
      <c r="A64" s="3">
        <v>26.128852999999999</v>
      </c>
      <c r="B64" s="3">
        <v>1997</v>
      </c>
      <c r="C64" s="3">
        <v>-0.15735054000000001</v>
      </c>
      <c r="D64" s="3" t="s">
        <v>1</v>
      </c>
      <c r="E64" s="3"/>
      <c r="F64" s="3">
        <v>29.113085000000002</v>
      </c>
      <c r="G64" s="3">
        <v>1997</v>
      </c>
      <c r="H64" s="3">
        <v>-0.40821266</v>
      </c>
      <c r="I64" s="3" t="s">
        <v>1</v>
      </c>
      <c r="J64" s="3"/>
      <c r="K64" s="3">
        <v>23.144604000000001</v>
      </c>
      <c r="L64" s="3">
        <v>1997</v>
      </c>
      <c r="M64" s="3">
        <v>9.3492510000000001E-2</v>
      </c>
      <c r="N64" s="3" t="s">
        <v>1</v>
      </c>
    </row>
    <row r="65" spans="1:14" x14ac:dyDescent="0.3">
      <c r="A65" s="3">
        <v>27.289601999999999</v>
      </c>
      <c r="B65" s="3">
        <v>1998</v>
      </c>
      <c r="C65" s="3">
        <v>1.0033989000000001</v>
      </c>
      <c r="D65" s="3" t="s">
        <v>1</v>
      </c>
      <c r="E65" s="3"/>
      <c r="F65" s="3">
        <v>30.544388000000001</v>
      </c>
      <c r="G65" s="3">
        <v>1998</v>
      </c>
      <c r="H65" s="3">
        <v>1.0230904000000001</v>
      </c>
      <c r="I65" s="3" t="s">
        <v>1</v>
      </c>
      <c r="J65" s="3"/>
      <c r="K65" s="3">
        <v>24.034842000000001</v>
      </c>
      <c r="L65" s="3">
        <v>1998</v>
      </c>
      <c r="M65" s="3">
        <v>0.98373029999999995</v>
      </c>
      <c r="N65" s="3" t="s">
        <v>1</v>
      </c>
    </row>
    <row r="66" spans="1:14" x14ac:dyDescent="0.3">
      <c r="A66" s="3">
        <v>25.683592000000001</v>
      </c>
      <c r="B66" s="3">
        <v>1999</v>
      </c>
      <c r="C66" s="3">
        <v>-0.60261153999999995</v>
      </c>
      <c r="D66" s="3" t="s">
        <v>1</v>
      </c>
      <c r="E66" s="3"/>
      <c r="F66" s="3">
        <v>28.717676000000001</v>
      </c>
      <c r="G66" s="3">
        <v>1999</v>
      </c>
      <c r="H66" s="3">
        <v>-0.80362129999999998</v>
      </c>
      <c r="I66" s="3" t="s">
        <v>1</v>
      </c>
      <c r="J66" s="3"/>
      <c r="K66" s="3">
        <v>22.649478999999999</v>
      </c>
      <c r="L66" s="3">
        <v>1999</v>
      </c>
      <c r="M66" s="3">
        <v>-0.4016323</v>
      </c>
      <c r="N66" s="3" t="s">
        <v>1</v>
      </c>
    </row>
    <row r="67" spans="1:14" x14ac:dyDescent="0.3">
      <c r="A67" s="3">
        <v>25.547062</v>
      </c>
      <c r="B67" s="3">
        <v>2000</v>
      </c>
      <c r="C67" s="3">
        <v>-0.73914146000000003</v>
      </c>
      <c r="D67" s="3" t="s">
        <v>1</v>
      </c>
      <c r="E67" s="3"/>
      <c r="F67" s="3">
        <v>28.730391999999998</v>
      </c>
      <c r="G67" s="3">
        <v>2000</v>
      </c>
      <c r="H67" s="3">
        <v>-0.79090499999999997</v>
      </c>
      <c r="I67" s="3" t="s">
        <v>1</v>
      </c>
      <c r="J67" s="3"/>
      <c r="K67" s="3">
        <v>22.363771</v>
      </c>
      <c r="L67" s="3">
        <v>2000</v>
      </c>
      <c r="M67" s="3">
        <v>-0.68733979999999995</v>
      </c>
      <c r="N67" s="3" t="s">
        <v>1</v>
      </c>
    </row>
    <row r="68" spans="1:14" x14ac:dyDescent="0.3">
      <c r="A68" s="3">
        <v>25.977194000000001</v>
      </c>
      <c r="B68" s="3">
        <v>2001</v>
      </c>
      <c r="C68" s="3">
        <v>-0.30900955000000002</v>
      </c>
      <c r="D68" s="3" t="s">
        <v>1</v>
      </c>
      <c r="E68" s="3"/>
      <c r="F68" s="3">
        <v>29.349755999999999</v>
      </c>
      <c r="G68" s="3">
        <v>2001</v>
      </c>
      <c r="H68" s="3">
        <v>-0.17154121</v>
      </c>
      <c r="I68" s="3" t="s">
        <v>1</v>
      </c>
      <c r="J68" s="3"/>
      <c r="K68" s="3">
        <v>22.604642999999999</v>
      </c>
      <c r="L68" s="3">
        <v>2001</v>
      </c>
      <c r="M68" s="3">
        <v>-0.44646835000000001</v>
      </c>
      <c r="N68" s="3" t="s">
        <v>1</v>
      </c>
    </row>
    <row r="69" spans="1:14" x14ac:dyDescent="0.3">
      <c r="A69" s="3">
        <v>26.229647</v>
      </c>
      <c r="B69" s="3">
        <v>2002</v>
      </c>
      <c r="C69" s="3">
        <v>-5.6556700000000001E-2</v>
      </c>
      <c r="D69" s="3" t="s">
        <v>1</v>
      </c>
      <c r="E69" s="3"/>
      <c r="F69" s="3">
        <v>29.556052999999999</v>
      </c>
      <c r="G69" s="3">
        <v>2002</v>
      </c>
      <c r="H69" s="3">
        <v>3.4755706999999997E-2</v>
      </c>
      <c r="I69" s="3" t="s">
        <v>1</v>
      </c>
      <c r="J69" s="3"/>
      <c r="K69" s="3">
        <v>22.903202</v>
      </c>
      <c r="L69" s="3">
        <v>2002</v>
      </c>
      <c r="M69" s="3">
        <v>-0.14790916000000001</v>
      </c>
      <c r="N69" s="3" t="s">
        <v>1</v>
      </c>
    </row>
    <row r="70" spans="1:14" x14ac:dyDescent="0.3">
      <c r="A70" s="3">
        <v>26.671879000000001</v>
      </c>
      <c r="B70" s="3">
        <v>2003</v>
      </c>
      <c r="C70" s="3">
        <v>0.38567542999999999</v>
      </c>
      <c r="D70" s="3" t="s">
        <v>1</v>
      </c>
      <c r="E70" s="3"/>
      <c r="F70" s="3">
        <v>30.117789999999999</v>
      </c>
      <c r="G70" s="3">
        <v>2003</v>
      </c>
      <c r="H70" s="3">
        <v>0.59649277000000001</v>
      </c>
      <c r="I70" s="3" t="s">
        <v>1</v>
      </c>
      <c r="J70" s="3"/>
      <c r="K70" s="3">
        <v>23.225973</v>
      </c>
      <c r="L70" s="3">
        <v>2003</v>
      </c>
      <c r="M70" s="3">
        <v>0.17486191000000001</v>
      </c>
      <c r="N70" s="3" t="s">
        <v>1</v>
      </c>
    </row>
    <row r="71" spans="1:14" x14ac:dyDescent="0.3">
      <c r="A71" s="3">
        <v>26.455067</v>
      </c>
      <c r="B71" s="3">
        <v>2004</v>
      </c>
      <c r="C71" s="3">
        <v>0.16886329999999999</v>
      </c>
      <c r="D71" s="3" t="s">
        <v>1</v>
      </c>
      <c r="E71" s="3"/>
      <c r="F71" s="3">
        <v>29.926485</v>
      </c>
      <c r="G71" s="3">
        <v>2004</v>
      </c>
      <c r="H71" s="3">
        <v>0.40518759999999998</v>
      </c>
      <c r="I71" s="3" t="s">
        <v>1</v>
      </c>
      <c r="J71" s="3"/>
      <c r="K71" s="3">
        <v>22.983685000000001</v>
      </c>
      <c r="L71" s="3">
        <v>2004</v>
      </c>
      <c r="M71" s="3">
        <v>-6.7426680000000003E-2</v>
      </c>
      <c r="N71" s="3" t="s">
        <v>1</v>
      </c>
    </row>
    <row r="72" spans="1:14" x14ac:dyDescent="0.3">
      <c r="A72" s="3">
        <v>26.196923999999999</v>
      </c>
      <c r="B72" s="3">
        <v>2005</v>
      </c>
      <c r="C72" s="3">
        <v>-8.9279175000000002E-2</v>
      </c>
      <c r="D72" s="3" t="s">
        <v>1</v>
      </c>
      <c r="E72" s="3"/>
      <c r="F72" s="3">
        <v>29.310030000000001</v>
      </c>
      <c r="G72" s="3">
        <v>2005</v>
      </c>
      <c r="H72" s="3">
        <v>-0.21126747000000001</v>
      </c>
      <c r="I72" s="3" t="s">
        <v>1</v>
      </c>
      <c r="J72" s="3"/>
      <c r="K72" s="3">
        <v>23.083794000000001</v>
      </c>
      <c r="L72" s="3">
        <v>2005</v>
      </c>
      <c r="M72" s="3">
        <v>3.2682419999999997E-2</v>
      </c>
      <c r="N72" s="3" t="s">
        <v>1</v>
      </c>
    </row>
    <row r="73" spans="1:14" x14ac:dyDescent="0.3">
      <c r="A73" s="3">
        <v>26.155113</v>
      </c>
      <c r="B73" s="3">
        <v>2006</v>
      </c>
      <c r="C73" s="3">
        <v>-0.13109016000000001</v>
      </c>
      <c r="D73" s="3" t="s">
        <v>1</v>
      </c>
      <c r="E73" s="3"/>
      <c r="F73" s="3">
        <v>29.16018</v>
      </c>
      <c r="G73" s="3">
        <v>2006</v>
      </c>
      <c r="H73" s="3">
        <v>-0.36111831999999999</v>
      </c>
      <c r="I73" s="3" t="s">
        <v>1</v>
      </c>
      <c r="J73" s="3"/>
      <c r="K73" s="3">
        <v>23.15</v>
      </c>
      <c r="L73" s="3">
        <v>2006</v>
      </c>
      <c r="M73" s="3">
        <v>9.8888400000000001E-2</v>
      </c>
      <c r="N73" s="3" t="s">
        <v>1</v>
      </c>
    </row>
    <row r="74" spans="1:14" x14ac:dyDescent="0.3">
      <c r="A74" s="3">
        <v>26.536667000000001</v>
      </c>
      <c r="B74" s="3">
        <v>2007</v>
      </c>
      <c r="C74" s="3">
        <v>0.25046350000000001</v>
      </c>
      <c r="D74" s="3" t="s">
        <v>1</v>
      </c>
      <c r="E74" s="3"/>
      <c r="F74" s="3">
        <v>30.209924999999998</v>
      </c>
      <c r="G74" s="3">
        <v>2007</v>
      </c>
      <c r="H74" s="3">
        <v>0.68862723999999997</v>
      </c>
      <c r="I74" s="3" t="s">
        <v>1</v>
      </c>
      <c r="J74" s="3"/>
      <c r="K74" s="3">
        <v>22.863422</v>
      </c>
      <c r="L74" s="3">
        <v>2007</v>
      </c>
      <c r="M74" s="3">
        <v>-0.18768883</v>
      </c>
      <c r="N74" s="3" t="s">
        <v>1</v>
      </c>
    </row>
    <row r="75" spans="1:14" x14ac:dyDescent="0.3">
      <c r="A75" s="3">
        <v>25.886091</v>
      </c>
      <c r="B75" s="3">
        <v>2008</v>
      </c>
      <c r="C75" s="3">
        <v>-0.40011215</v>
      </c>
      <c r="D75" s="3" t="s">
        <v>1</v>
      </c>
      <c r="E75" s="3"/>
      <c r="F75" s="3">
        <v>29.084599999999998</v>
      </c>
      <c r="G75" s="3">
        <v>2008</v>
      </c>
      <c r="H75" s="3">
        <v>-0.436697</v>
      </c>
      <c r="I75" s="3" t="s">
        <v>1</v>
      </c>
      <c r="J75" s="3"/>
      <c r="K75" s="3">
        <v>22.687588000000002</v>
      </c>
      <c r="L75" s="3">
        <v>2008</v>
      </c>
      <c r="M75" s="3">
        <v>-0.36352348000000001</v>
      </c>
      <c r="N75" s="3" t="s">
        <v>1</v>
      </c>
    </row>
    <row r="76" spans="1:14" x14ac:dyDescent="0.3">
      <c r="A76" s="3">
        <v>26.125464999999998</v>
      </c>
      <c r="B76" s="3">
        <v>2009</v>
      </c>
      <c r="C76" s="3">
        <v>-0.16073799</v>
      </c>
      <c r="D76" s="3" t="s">
        <v>1</v>
      </c>
      <c r="E76" s="3"/>
      <c r="F76" s="3">
        <v>29.073784</v>
      </c>
      <c r="G76" s="3">
        <v>2009</v>
      </c>
      <c r="H76" s="3">
        <v>-0.44751358000000002</v>
      </c>
      <c r="I76" s="3" t="s">
        <v>1</v>
      </c>
      <c r="J76" s="3"/>
      <c r="K76" s="3">
        <v>23.177123999999999</v>
      </c>
      <c r="L76" s="3">
        <v>2009</v>
      </c>
      <c r="M76" s="3">
        <v>0.12601280000000001</v>
      </c>
      <c r="N76" s="3" t="s">
        <v>1</v>
      </c>
    </row>
    <row r="77" spans="1:14" x14ac:dyDescent="0.3">
      <c r="A77" s="3">
        <v>27.319959999999998</v>
      </c>
      <c r="B77" s="3">
        <v>2010</v>
      </c>
      <c r="C77" s="3">
        <v>1.0337563000000001</v>
      </c>
      <c r="D77" s="3" t="s">
        <v>1</v>
      </c>
      <c r="E77" s="3"/>
      <c r="F77" s="3">
        <v>30.250306999999999</v>
      </c>
      <c r="G77" s="3">
        <v>2010</v>
      </c>
      <c r="H77" s="3">
        <v>0.72900960000000004</v>
      </c>
      <c r="I77" s="3" t="s">
        <v>1</v>
      </c>
      <c r="J77" s="3"/>
      <c r="K77" s="3">
        <v>24.389652000000002</v>
      </c>
      <c r="L77" s="3">
        <v>2010</v>
      </c>
      <c r="M77" s="3">
        <v>1.338541</v>
      </c>
      <c r="N77" s="3" t="s">
        <v>1</v>
      </c>
    </row>
    <row r="78" spans="1:14" x14ac:dyDescent="0.3">
      <c r="A78" s="3">
        <v>26.152906000000002</v>
      </c>
      <c r="B78" s="3">
        <v>2011</v>
      </c>
      <c r="C78" s="3">
        <v>-0.13329696999999999</v>
      </c>
      <c r="D78" s="3" t="s">
        <v>1</v>
      </c>
      <c r="E78" s="3"/>
      <c r="F78" s="3">
        <v>29.433989</v>
      </c>
      <c r="G78" s="3">
        <v>2011</v>
      </c>
      <c r="H78" s="3">
        <v>-8.7308880000000005E-2</v>
      </c>
      <c r="I78" s="3" t="s">
        <v>1</v>
      </c>
      <c r="J78" s="3"/>
      <c r="K78" s="3">
        <v>22.871796</v>
      </c>
      <c r="L78" s="3">
        <v>2011</v>
      </c>
      <c r="M78" s="3">
        <v>-0.17931557000000001</v>
      </c>
      <c r="N78" s="3" t="s">
        <v>1</v>
      </c>
    </row>
    <row r="79" spans="1:14" x14ac:dyDescent="0.3">
      <c r="A79" s="3">
        <v>26.108537999999999</v>
      </c>
      <c r="B79" s="3">
        <v>2012</v>
      </c>
      <c r="C79" s="3">
        <v>-0.17766571</v>
      </c>
      <c r="D79" s="3" t="s">
        <v>1</v>
      </c>
      <c r="E79" s="3"/>
      <c r="F79" s="3">
        <v>29.297229999999999</v>
      </c>
      <c r="G79" s="3">
        <v>2012</v>
      </c>
      <c r="H79" s="3">
        <v>-0.22406769000000001</v>
      </c>
      <c r="I79" s="3" t="s">
        <v>1</v>
      </c>
      <c r="J79" s="3"/>
      <c r="K79" s="3">
        <v>22.919868000000001</v>
      </c>
      <c r="L79" s="3">
        <v>2012</v>
      </c>
      <c r="M79" s="3">
        <v>-0.13124274999999999</v>
      </c>
      <c r="N79" s="3" t="s">
        <v>1</v>
      </c>
    </row>
    <row r="80" spans="1:14" x14ac:dyDescent="0.3">
      <c r="A80" s="3">
        <v>26.39442</v>
      </c>
      <c r="B80" s="3">
        <v>2013</v>
      </c>
      <c r="C80" s="3">
        <v>0.10821724000000001</v>
      </c>
      <c r="D80" s="3" t="s">
        <v>1</v>
      </c>
      <c r="E80" s="3"/>
      <c r="F80" s="3">
        <v>29.471095999999999</v>
      </c>
      <c r="G80" s="3">
        <v>2013</v>
      </c>
      <c r="H80" s="3">
        <v>-5.0201415999999999E-2</v>
      </c>
      <c r="I80" s="3" t="s">
        <v>1</v>
      </c>
      <c r="J80" s="3"/>
      <c r="K80" s="3">
        <v>23.31775</v>
      </c>
      <c r="L80" s="3">
        <v>2013</v>
      </c>
      <c r="M80" s="3">
        <v>0.26663969999999998</v>
      </c>
      <c r="N80" s="3" t="s">
        <v>1</v>
      </c>
    </row>
    <row r="81" spans="1:14" x14ac:dyDescent="0.3">
      <c r="A81" s="3">
        <v>26.379405999999999</v>
      </c>
      <c r="B81" s="3">
        <v>2014</v>
      </c>
      <c r="C81" s="3">
        <v>9.3202590000000002E-2</v>
      </c>
      <c r="D81" s="3" t="s">
        <v>1</v>
      </c>
      <c r="E81" s="3"/>
      <c r="F81" s="3">
        <v>29.585197000000001</v>
      </c>
      <c r="G81" s="3">
        <v>2014</v>
      </c>
      <c r="H81" s="3">
        <v>6.3899994000000002E-2</v>
      </c>
      <c r="I81" s="3" t="s">
        <v>1</v>
      </c>
      <c r="J81" s="3"/>
      <c r="K81" s="3">
        <v>23.173628000000001</v>
      </c>
      <c r="L81" s="3">
        <v>2014</v>
      </c>
      <c r="M81" s="3">
        <v>0.12251663</v>
      </c>
      <c r="N81" s="3" t="s">
        <v>1</v>
      </c>
    </row>
    <row r="82" spans="1:14" x14ac:dyDescent="0.3">
      <c r="A82" s="3">
        <v>26.616064000000001</v>
      </c>
      <c r="B82" s="3">
        <v>2015</v>
      </c>
      <c r="C82" s="3">
        <v>0.32986070000000001</v>
      </c>
      <c r="D82" s="3" t="s">
        <v>1</v>
      </c>
      <c r="E82" s="3"/>
      <c r="F82" s="3">
        <v>29.625540000000001</v>
      </c>
      <c r="G82" s="3">
        <v>2015</v>
      </c>
      <c r="H82" s="3">
        <v>0.104242325</v>
      </c>
      <c r="I82" s="3" t="s">
        <v>1</v>
      </c>
      <c r="J82" s="3"/>
      <c r="K82" s="3">
        <v>23.606598000000002</v>
      </c>
      <c r="L82" s="3">
        <v>2015</v>
      </c>
      <c r="M82" s="3">
        <v>0.5554867</v>
      </c>
      <c r="N82" s="3" t="s">
        <v>1</v>
      </c>
    </row>
    <row r="83" spans="1:14" x14ac:dyDescent="0.3">
      <c r="A83" s="3">
        <v>27.040087</v>
      </c>
      <c r="B83" s="3">
        <v>2016</v>
      </c>
      <c r="C83" s="3">
        <v>0.75388336</v>
      </c>
      <c r="D83" s="3" t="s">
        <v>1</v>
      </c>
      <c r="E83" s="3"/>
      <c r="F83" s="3">
        <v>30.163702000000001</v>
      </c>
      <c r="G83" s="3">
        <v>2016</v>
      </c>
      <c r="H83" s="3">
        <v>0.64240456000000001</v>
      </c>
      <c r="I83" s="3" t="s">
        <v>1</v>
      </c>
      <c r="J83" s="3"/>
      <c r="K83" s="3">
        <v>23.916487</v>
      </c>
      <c r="L83" s="3">
        <v>2016</v>
      </c>
      <c r="M83" s="3">
        <v>0.86537549999999996</v>
      </c>
      <c r="N83" s="3" t="s">
        <v>1</v>
      </c>
    </row>
    <row r="84" spans="1:14" x14ac:dyDescent="0.3">
      <c r="A84" s="3">
        <v>26.426030000000001</v>
      </c>
      <c r="B84" s="3">
        <v>2017</v>
      </c>
      <c r="C84" s="3">
        <v>0.13982581999999999</v>
      </c>
      <c r="D84" s="3" t="s">
        <v>1</v>
      </c>
      <c r="E84" s="3"/>
      <c r="F84" s="3">
        <v>29.900110000000002</v>
      </c>
      <c r="G84" s="3">
        <v>2017</v>
      </c>
      <c r="H84" s="3">
        <v>0.37881280000000001</v>
      </c>
      <c r="I84" s="3" t="s">
        <v>1</v>
      </c>
      <c r="J84" s="3"/>
      <c r="K84" s="3">
        <v>22.951944000000001</v>
      </c>
      <c r="L84" s="3">
        <v>2017</v>
      </c>
      <c r="M84" s="3">
        <v>-9.9166870000000004E-2</v>
      </c>
      <c r="N84" s="3" t="s">
        <v>1</v>
      </c>
    </row>
    <row r="85" spans="1:14" x14ac:dyDescent="0.3">
      <c r="A85" s="3">
        <v>26.068237</v>
      </c>
      <c r="B85" s="3">
        <v>2018</v>
      </c>
      <c r="C85" s="3">
        <v>-0.21796608000000001</v>
      </c>
      <c r="D85" s="3" t="s">
        <v>1</v>
      </c>
      <c r="E85" s="3"/>
      <c r="F85" s="3">
        <v>29.322393000000002</v>
      </c>
      <c r="G85" s="3">
        <v>2018</v>
      </c>
      <c r="H85" s="3">
        <v>-0.19890404</v>
      </c>
      <c r="I85" s="3" t="s">
        <v>1</v>
      </c>
      <c r="J85" s="3"/>
      <c r="K85" s="3">
        <v>22.814094999999998</v>
      </c>
      <c r="L85" s="3">
        <v>2018</v>
      </c>
      <c r="M85" s="3">
        <v>-0.23701668000000001</v>
      </c>
      <c r="N85" s="3" t="s">
        <v>1</v>
      </c>
    </row>
    <row r="86" spans="1:14" x14ac:dyDescent="0.3">
      <c r="A86" s="3">
        <v>26.663043999999999</v>
      </c>
      <c r="B86" s="3">
        <v>2019</v>
      </c>
      <c r="C86" s="3">
        <v>0.37684060000000003</v>
      </c>
      <c r="D86" s="3" t="s">
        <v>1</v>
      </c>
      <c r="E86" s="3"/>
      <c r="F86" s="3">
        <v>30.009995</v>
      </c>
      <c r="G86" s="3">
        <v>2019</v>
      </c>
      <c r="H86" s="3">
        <v>0.48869705000000002</v>
      </c>
      <c r="I86" s="3" t="s">
        <v>1</v>
      </c>
      <c r="J86" s="3"/>
      <c r="K86" s="3">
        <v>23.316113999999999</v>
      </c>
      <c r="L86" s="3">
        <v>2019</v>
      </c>
      <c r="M86" s="3">
        <v>0.26500319999999999</v>
      </c>
      <c r="N86" s="3" t="s">
        <v>1</v>
      </c>
    </row>
    <row r="87" spans="1:14" x14ac:dyDescent="0.3">
      <c r="A87" s="3">
        <v>26.856337</v>
      </c>
      <c r="B87" s="3">
        <v>2020</v>
      </c>
      <c r="C87" s="3">
        <v>0.57013320000000001</v>
      </c>
      <c r="D87" s="3" t="s">
        <v>1</v>
      </c>
      <c r="E87" s="3"/>
      <c r="F87" s="3">
        <v>30.081579999999999</v>
      </c>
      <c r="G87" s="3">
        <v>2020</v>
      </c>
      <c r="H87" s="3">
        <v>0.56028175000000002</v>
      </c>
      <c r="I87" s="3" t="s">
        <v>1</v>
      </c>
      <c r="J87" s="3"/>
      <c r="K87" s="3">
        <v>23.631084000000001</v>
      </c>
      <c r="L87" s="3">
        <v>2020</v>
      </c>
      <c r="M87" s="3">
        <v>0.57997319999999997</v>
      </c>
      <c r="N87" s="3" t="s">
        <v>1</v>
      </c>
    </row>
    <row r="88" spans="1:14" x14ac:dyDescent="0.3">
      <c r="A88" s="3">
        <v>26.557103999999999</v>
      </c>
      <c r="B88" s="3">
        <v>2021</v>
      </c>
      <c r="C88" s="3">
        <v>0.27090072999999998</v>
      </c>
      <c r="D88" s="3" t="s">
        <v>1</v>
      </c>
      <c r="E88" s="3"/>
      <c r="F88" s="3">
        <v>29.796776000000001</v>
      </c>
      <c r="G88" s="3">
        <v>2021</v>
      </c>
      <c r="H88" s="3">
        <v>0.27547835999999998</v>
      </c>
      <c r="I88" s="3" t="s">
        <v>1</v>
      </c>
      <c r="J88" s="3"/>
      <c r="K88" s="3">
        <v>23.317436000000001</v>
      </c>
      <c r="L88" s="3">
        <v>2021</v>
      </c>
      <c r="M88" s="3">
        <v>0.26632499999999998</v>
      </c>
      <c r="N88" s="3" t="s">
        <v>1</v>
      </c>
    </row>
    <row r="89" spans="1:14" x14ac:dyDescent="0.3">
      <c r="A89" s="3">
        <v>26.017379999999999</v>
      </c>
      <c r="B89" s="3">
        <v>2022</v>
      </c>
      <c r="C89" s="3">
        <v>-0.26882361999999999</v>
      </c>
      <c r="D89" s="3" t="s">
        <v>1</v>
      </c>
      <c r="E89" s="3"/>
      <c r="F89" s="3">
        <v>29.308312999999998</v>
      </c>
      <c r="G89" s="3">
        <v>2022</v>
      </c>
      <c r="H89" s="3">
        <v>-0.21298408999999999</v>
      </c>
      <c r="I89" s="3" t="s">
        <v>1</v>
      </c>
      <c r="J89" s="3"/>
      <c r="K89" s="3">
        <v>22.726448000000001</v>
      </c>
      <c r="L89" s="3">
        <v>2022</v>
      </c>
      <c r="M89" s="3">
        <v>-0.32466316000000001</v>
      </c>
      <c r="N89" s="3" t="s">
        <v>1</v>
      </c>
    </row>
    <row r="90" spans="1:14" x14ac:dyDescent="0.3">
      <c r="A90" s="3">
        <v>26.300415000000001</v>
      </c>
      <c r="B90" s="3">
        <v>2023</v>
      </c>
      <c r="C90" s="3">
        <v>1.4211655E-2</v>
      </c>
      <c r="D90" s="3" t="s">
        <v>1</v>
      </c>
      <c r="E90" s="3"/>
      <c r="F90" s="3">
        <v>29.457104000000001</v>
      </c>
      <c r="G90" s="3">
        <v>2023</v>
      </c>
      <c r="H90" s="3">
        <v>-6.4193726000000007E-2</v>
      </c>
      <c r="I90" s="3" t="s">
        <v>1</v>
      </c>
      <c r="J90" s="3"/>
      <c r="K90" s="3">
        <v>23.143685999999999</v>
      </c>
      <c r="L90" s="3">
        <v>2023</v>
      </c>
      <c r="M90" s="3">
        <v>9.2575069999999995E-2</v>
      </c>
      <c r="N90" s="3" t="s">
        <v>1</v>
      </c>
    </row>
    <row r="91" spans="1:14" x14ac:dyDescent="0.3">
      <c r="A91" s="3">
        <v>27.10135</v>
      </c>
      <c r="B91" s="3">
        <v>2024</v>
      </c>
      <c r="C91" s="3">
        <v>0.81514739999999997</v>
      </c>
      <c r="D91" s="3" t="s">
        <v>1</v>
      </c>
      <c r="E91" s="3"/>
      <c r="F91" s="3">
        <v>30.279758000000001</v>
      </c>
      <c r="G91" s="3">
        <v>2024</v>
      </c>
      <c r="H91" s="3">
        <v>0.75846100000000005</v>
      </c>
      <c r="I91" s="3" t="s">
        <v>1</v>
      </c>
      <c r="J91" s="3"/>
      <c r="K91" s="3">
        <v>23.922916000000001</v>
      </c>
      <c r="L91" s="3">
        <v>2024</v>
      </c>
      <c r="M91" s="3">
        <v>0.87180519999999995</v>
      </c>
      <c r="N91" s="3" t="s">
        <v>1</v>
      </c>
    </row>
    <row r="92" spans="1:14" x14ac:dyDescent="0.3">
      <c r="A92" s="3">
        <v>26.586973</v>
      </c>
      <c r="B92" s="3">
        <v>2025</v>
      </c>
      <c r="C92" s="3">
        <v>0.30076979999999998</v>
      </c>
      <c r="D92" s="3" t="s">
        <v>1</v>
      </c>
      <c r="E92" s="3"/>
      <c r="F92" s="3">
        <v>29.589023999999998</v>
      </c>
      <c r="G92" s="3">
        <v>2025</v>
      </c>
      <c r="H92" s="3">
        <v>6.7726135000000007E-2</v>
      </c>
      <c r="I92" s="3" t="s">
        <v>1</v>
      </c>
      <c r="J92" s="3"/>
      <c r="K92" s="3">
        <v>23.584959999999999</v>
      </c>
      <c r="L92" s="3">
        <v>2025</v>
      </c>
      <c r="M92" s="3">
        <v>0.53384969999999998</v>
      </c>
      <c r="N92" s="3" t="s">
        <v>1</v>
      </c>
    </row>
    <row r="93" spans="1:14" x14ac:dyDescent="0.3">
      <c r="A93" s="3">
        <v>26.82835</v>
      </c>
      <c r="B93" s="3">
        <v>1981</v>
      </c>
      <c r="C93" s="3">
        <v>6.2028884999999999E-2</v>
      </c>
      <c r="D93" s="3" t="s">
        <v>2</v>
      </c>
      <c r="E93" s="3"/>
      <c r="F93" s="3">
        <v>30.083637</v>
      </c>
      <c r="G93" s="3">
        <v>1981</v>
      </c>
      <c r="H93" s="3">
        <v>1.1037827E-2</v>
      </c>
      <c r="I93" s="3" t="s">
        <v>2</v>
      </c>
      <c r="J93" s="3"/>
      <c r="K93" s="3">
        <v>23.573087999999998</v>
      </c>
      <c r="L93" s="3">
        <v>1981</v>
      </c>
      <c r="M93" s="3">
        <v>0.11305237</v>
      </c>
      <c r="N93" s="3" t="s">
        <v>2</v>
      </c>
    </row>
    <row r="94" spans="1:14" x14ac:dyDescent="0.3">
      <c r="A94" s="3">
        <v>26.632791999999998</v>
      </c>
      <c r="B94" s="3">
        <v>1982</v>
      </c>
      <c r="C94" s="3">
        <v>-0.13352965999999999</v>
      </c>
      <c r="D94" s="3" t="s">
        <v>2</v>
      </c>
      <c r="E94" s="3"/>
      <c r="F94" s="3">
        <v>30.013373999999999</v>
      </c>
      <c r="G94" s="3">
        <v>1982</v>
      </c>
      <c r="H94" s="3">
        <v>-5.9225081999999998E-2</v>
      </c>
      <c r="I94" s="3" t="s">
        <v>2</v>
      </c>
      <c r="J94" s="3"/>
      <c r="K94" s="3">
        <v>23.252205</v>
      </c>
      <c r="L94" s="3">
        <v>1982</v>
      </c>
      <c r="M94" s="3">
        <v>-0.20783043000000001</v>
      </c>
      <c r="N94" s="3" t="s">
        <v>2</v>
      </c>
    </row>
    <row r="95" spans="1:14" x14ac:dyDescent="0.3">
      <c r="A95" s="3">
        <v>27.312853</v>
      </c>
      <c r="B95" s="3">
        <v>1983</v>
      </c>
      <c r="C95" s="3">
        <v>0.54653169999999995</v>
      </c>
      <c r="D95" s="3" t="s">
        <v>2</v>
      </c>
      <c r="E95" s="3"/>
      <c r="F95" s="3">
        <v>30.390608</v>
      </c>
      <c r="G95" s="3">
        <v>1983</v>
      </c>
      <c r="H95" s="3">
        <v>0.31800842000000001</v>
      </c>
      <c r="I95" s="3" t="s">
        <v>2</v>
      </c>
      <c r="J95" s="3"/>
      <c r="K95" s="3">
        <v>24.235036999999998</v>
      </c>
      <c r="L95" s="3">
        <v>1983</v>
      </c>
      <c r="M95" s="3">
        <v>0.77500150000000001</v>
      </c>
      <c r="N95" s="3" t="s">
        <v>2</v>
      </c>
    </row>
    <row r="96" spans="1:14" x14ac:dyDescent="0.3">
      <c r="A96" s="3">
        <v>26.285150000000002</v>
      </c>
      <c r="B96" s="3">
        <v>1984</v>
      </c>
      <c r="C96" s="3">
        <v>-0.48117064999999998</v>
      </c>
      <c r="D96" s="3" t="s">
        <v>2</v>
      </c>
      <c r="E96" s="3"/>
      <c r="F96" s="3">
        <v>29.633654</v>
      </c>
      <c r="G96" s="3">
        <v>1984</v>
      </c>
      <c r="H96" s="3">
        <v>-0.43894577000000001</v>
      </c>
      <c r="I96" s="3" t="s">
        <v>2</v>
      </c>
      <c r="J96" s="3"/>
      <c r="K96" s="3">
        <v>22.936686000000002</v>
      </c>
      <c r="L96" s="3">
        <v>1984</v>
      </c>
      <c r="M96" s="3">
        <v>-0.52334976</v>
      </c>
      <c r="N96" s="3" t="s">
        <v>2</v>
      </c>
    </row>
    <row r="97" spans="1:14" x14ac:dyDescent="0.3">
      <c r="A97" s="3">
        <v>26.384974</v>
      </c>
      <c r="B97" s="3">
        <v>1985</v>
      </c>
      <c r="C97" s="3">
        <v>-0.38134765999999998</v>
      </c>
      <c r="D97" s="3" t="s">
        <v>2</v>
      </c>
      <c r="E97" s="3"/>
      <c r="F97" s="3">
        <v>29.818957999999999</v>
      </c>
      <c r="G97" s="3">
        <v>1985</v>
      </c>
      <c r="H97" s="3">
        <v>-0.25364112999999999</v>
      </c>
      <c r="I97" s="3" t="s">
        <v>2</v>
      </c>
      <c r="J97" s="3"/>
      <c r="K97" s="3">
        <v>22.950970000000002</v>
      </c>
      <c r="L97" s="3">
        <v>1985</v>
      </c>
      <c r="M97" s="3">
        <v>-0.50906560000000001</v>
      </c>
      <c r="N97" s="3" t="s">
        <v>2</v>
      </c>
    </row>
    <row r="98" spans="1:14" x14ac:dyDescent="0.3">
      <c r="A98" s="3">
        <v>26.255960000000002</v>
      </c>
      <c r="B98" s="3">
        <v>1986</v>
      </c>
      <c r="C98" s="3">
        <v>-0.5103607</v>
      </c>
      <c r="D98" s="3" t="s">
        <v>2</v>
      </c>
      <c r="E98" s="3"/>
      <c r="F98" s="3">
        <v>29.655778999999999</v>
      </c>
      <c r="G98" s="3">
        <v>1986</v>
      </c>
      <c r="H98" s="3">
        <v>-0.41682053000000002</v>
      </c>
      <c r="I98" s="3" t="s">
        <v>2</v>
      </c>
      <c r="J98" s="3"/>
      <c r="K98" s="3">
        <v>22.856148000000001</v>
      </c>
      <c r="L98" s="3">
        <v>1986</v>
      </c>
      <c r="M98" s="3">
        <v>-0.60388755999999999</v>
      </c>
      <c r="N98" s="3" t="s">
        <v>2</v>
      </c>
    </row>
    <row r="99" spans="1:14" x14ac:dyDescent="0.3">
      <c r="A99" s="3">
        <v>26.928688000000001</v>
      </c>
      <c r="B99" s="3">
        <v>1987</v>
      </c>
      <c r="C99" s="3">
        <v>0.16236687</v>
      </c>
      <c r="D99" s="3" t="s">
        <v>2</v>
      </c>
      <c r="E99" s="3"/>
      <c r="F99" s="3">
        <v>30.491921999999999</v>
      </c>
      <c r="G99" s="3">
        <v>1987</v>
      </c>
      <c r="H99" s="3">
        <v>0.41932297000000002</v>
      </c>
      <c r="I99" s="3" t="s">
        <v>2</v>
      </c>
      <c r="J99" s="3"/>
      <c r="K99" s="3">
        <v>23.365421000000001</v>
      </c>
      <c r="L99" s="3">
        <v>1987</v>
      </c>
      <c r="M99" s="3">
        <v>-9.4614030000000002E-2</v>
      </c>
      <c r="N99" s="3" t="s">
        <v>2</v>
      </c>
    </row>
    <row r="100" spans="1:14" x14ac:dyDescent="0.3">
      <c r="A100" s="3">
        <v>26.622564000000001</v>
      </c>
      <c r="B100" s="3">
        <v>1988</v>
      </c>
      <c r="C100" s="3">
        <v>-0.14375687000000001</v>
      </c>
      <c r="D100" s="3" t="s">
        <v>2</v>
      </c>
      <c r="E100" s="3"/>
      <c r="F100" s="3">
        <v>30.015637999999999</v>
      </c>
      <c r="G100" s="3">
        <v>1988</v>
      </c>
      <c r="H100" s="3">
        <v>-5.6961060000000001E-2</v>
      </c>
      <c r="I100" s="3" t="s">
        <v>2</v>
      </c>
      <c r="J100" s="3"/>
      <c r="K100" s="3">
        <v>23.229510999999999</v>
      </c>
      <c r="L100" s="3">
        <v>1988</v>
      </c>
      <c r="M100" s="3">
        <v>-0.23052406</v>
      </c>
      <c r="N100" s="3" t="s">
        <v>2</v>
      </c>
    </row>
    <row r="101" spans="1:14" x14ac:dyDescent="0.3">
      <c r="A101" s="3">
        <v>25.728663999999998</v>
      </c>
      <c r="B101" s="3">
        <v>1989</v>
      </c>
      <c r="C101" s="3">
        <v>-1.0376567999999999</v>
      </c>
      <c r="D101" s="3" t="s">
        <v>2</v>
      </c>
      <c r="E101" s="3"/>
      <c r="F101" s="3">
        <v>29.230415000000001</v>
      </c>
      <c r="G101" s="3">
        <v>1989</v>
      </c>
      <c r="H101" s="3">
        <v>-0.84218406999999995</v>
      </c>
      <c r="I101" s="3" t="s">
        <v>2</v>
      </c>
      <c r="J101" s="3"/>
      <c r="K101" s="3">
        <v>22.226894000000001</v>
      </c>
      <c r="L101" s="3">
        <v>1989</v>
      </c>
      <c r="M101" s="3">
        <v>-1.233141</v>
      </c>
      <c r="N101" s="3" t="s">
        <v>2</v>
      </c>
    </row>
    <row r="102" spans="1:14" x14ac:dyDescent="0.3">
      <c r="A102" s="3">
        <v>26.562849</v>
      </c>
      <c r="B102" s="3">
        <v>1990</v>
      </c>
      <c r="C102" s="3">
        <v>-0.20347214</v>
      </c>
      <c r="D102" s="3" t="s">
        <v>2</v>
      </c>
      <c r="E102" s="3"/>
      <c r="F102" s="3">
        <v>29.762362</v>
      </c>
      <c r="G102" s="3">
        <v>1990</v>
      </c>
      <c r="H102" s="3">
        <v>-0.31023788000000002</v>
      </c>
      <c r="I102" s="3" t="s">
        <v>2</v>
      </c>
      <c r="J102" s="3"/>
      <c r="K102" s="3">
        <v>23.363308</v>
      </c>
      <c r="L102" s="3">
        <v>1990</v>
      </c>
      <c r="M102" s="3">
        <v>-9.6727369999999993E-2</v>
      </c>
      <c r="N102" s="3" t="s">
        <v>2</v>
      </c>
    </row>
    <row r="103" spans="1:14" x14ac:dyDescent="0.3">
      <c r="A103" s="3">
        <v>26.668769999999999</v>
      </c>
      <c r="B103" s="3">
        <v>1991</v>
      </c>
      <c r="C103" s="3">
        <v>-9.7551345999999997E-2</v>
      </c>
      <c r="D103" s="3" t="s">
        <v>2</v>
      </c>
      <c r="E103" s="3"/>
      <c r="F103" s="3">
        <v>29.965166</v>
      </c>
      <c r="G103" s="3">
        <v>1991</v>
      </c>
      <c r="H103" s="3">
        <v>-0.10743332</v>
      </c>
      <c r="I103" s="3" t="s">
        <v>2</v>
      </c>
      <c r="J103" s="3"/>
      <c r="K103" s="3">
        <v>23.372395999999998</v>
      </c>
      <c r="L103" s="3">
        <v>1991</v>
      </c>
      <c r="M103" s="3">
        <v>-8.7638855000000002E-2</v>
      </c>
      <c r="N103" s="3" t="s">
        <v>2</v>
      </c>
    </row>
    <row r="104" spans="1:14" x14ac:dyDescent="0.3">
      <c r="A104" s="3">
        <v>26.861197000000001</v>
      </c>
      <c r="B104" s="3">
        <v>1992</v>
      </c>
      <c r="C104" s="3">
        <v>9.4875336000000005E-2</v>
      </c>
      <c r="D104" s="3" t="s">
        <v>2</v>
      </c>
      <c r="E104" s="3"/>
      <c r="F104" s="3">
        <v>30.194987999999999</v>
      </c>
      <c r="G104" s="3">
        <v>1992</v>
      </c>
      <c r="H104" s="3">
        <v>0.12238884</v>
      </c>
      <c r="I104" s="3" t="s">
        <v>2</v>
      </c>
      <c r="J104" s="3"/>
      <c r="K104" s="3">
        <v>23.527403</v>
      </c>
      <c r="L104" s="3">
        <v>1992</v>
      </c>
      <c r="M104" s="3">
        <v>6.7367549999999998E-2</v>
      </c>
      <c r="N104" s="3" t="s">
        <v>2</v>
      </c>
    </row>
    <row r="105" spans="1:14" x14ac:dyDescent="0.3">
      <c r="A105" s="3">
        <v>26.506274999999999</v>
      </c>
      <c r="B105" s="3">
        <v>1993</v>
      </c>
      <c r="C105" s="3">
        <v>-0.260046</v>
      </c>
      <c r="D105" s="3" t="s">
        <v>2</v>
      </c>
      <c r="E105" s="3"/>
      <c r="F105" s="3">
        <v>29.881432</v>
      </c>
      <c r="G105" s="3">
        <v>1993</v>
      </c>
      <c r="H105" s="3">
        <v>-0.19116783000000001</v>
      </c>
      <c r="I105" s="3" t="s">
        <v>2</v>
      </c>
      <c r="J105" s="3"/>
      <c r="K105" s="3">
        <v>23.131111000000001</v>
      </c>
      <c r="L105" s="3">
        <v>1993</v>
      </c>
      <c r="M105" s="3">
        <v>-0.32892418000000001</v>
      </c>
      <c r="N105" s="3" t="s">
        <v>2</v>
      </c>
    </row>
    <row r="106" spans="1:14" x14ac:dyDescent="0.3">
      <c r="A106" s="3">
        <v>26.314859999999999</v>
      </c>
      <c r="B106" s="3">
        <v>1994</v>
      </c>
      <c r="C106" s="3">
        <v>-0.45146180000000002</v>
      </c>
      <c r="D106" s="3" t="s">
        <v>2</v>
      </c>
      <c r="E106" s="3"/>
      <c r="F106" s="3">
        <v>29.792771999999999</v>
      </c>
      <c r="G106" s="3">
        <v>1994</v>
      </c>
      <c r="H106" s="3">
        <v>-0.27982711999999998</v>
      </c>
      <c r="I106" s="3" t="s">
        <v>2</v>
      </c>
      <c r="J106" s="3"/>
      <c r="K106" s="3">
        <v>22.836898999999999</v>
      </c>
      <c r="L106" s="3">
        <v>1994</v>
      </c>
      <c r="M106" s="3">
        <v>-0.62313649999999998</v>
      </c>
      <c r="N106" s="3" t="s">
        <v>2</v>
      </c>
    </row>
    <row r="107" spans="1:14" x14ac:dyDescent="0.3">
      <c r="A107" s="3">
        <v>26.619140000000002</v>
      </c>
      <c r="B107" s="3">
        <v>1995</v>
      </c>
      <c r="C107" s="3">
        <v>-0.14718055999999999</v>
      </c>
      <c r="D107" s="3" t="s">
        <v>2</v>
      </c>
      <c r="E107" s="3"/>
      <c r="F107" s="3">
        <v>30.291091999999999</v>
      </c>
      <c r="G107" s="3">
        <v>1995</v>
      </c>
      <c r="H107" s="3">
        <v>0.21849251</v>
      </c>
      <c r="I107" s="3" t="s">
        <v>2</v>
      </c>
      <c r="J107" s="3"/>
      <c r="K107" s="3">
        <v>22.947191</v>
      </c>
      <c r="L107" s="3">
        <v>1995</v>
      </c>
      <c r="M107" s="3">
        <v>-0.51284410000000002</v>
      </c>
      <c r="N107" s="3" t="s">
        <v>2</v>
      </c>
    </row>
    <row r="108" spans="1:14" x14ac:dyDescent="0.3">
      <c r="A108" s="3">
        <v>26.297927999999999</v>
      </c>
      <c r="B108" s="3">
        <v>1996</v>
      </c>
      <c r="C108" s="3">
        <v>-0.46839333</v>
      </c>
      <c r="D108" s="3" t="s">
        <v>2</v>
      </c>
      <c r="E108" s="3"/>
      <c r="F108" s="3">
        <v>29.558320999999999</v>
      </c>
      <c r="G108" s="3">
        <v>1996</v>
      </c>
      <c r="H108" s="3">
        <v>-0.51427840000000002</v>
      </c>
      <c r="I108" s="3" t="s">
        <v>2</v>
      </c>
      <c r="J108" s="3"/>
      <c r="K108" s="3">
        <v>23.037552000000002</v>
      </c>
      <c r="L108" s="3">
        <v>1996</v>
      </c>
      <c r="M108" s="3">
        <v>-0.42248343999999999</v>
      </c>
      <c r="N108" s="3" t="s">
        <v>2</v>
      </c>
    </row>
    <row r="109" spans="1:14" x14ac:dyDescent="0.3">
      <c r="A109" s="3">
        <v>26.456505</v>
      </c>
      <c r="B109" s="3">
        <v>1997</v>
      </c>
      <c r="C109" s="3">
        <v>-0.30981636000000001</v>
      </c>
      <c r="D109" s="3" t="s">
        <v>2</v>
      </c>
      <c r="E109" s="3"/>
      <c r="F109" s="3">
        <v>29.957750000000001</v>
      </c>
      <c r="G109" s="3">
        <v>1997</v>
      </c>
      <c r="H109" s="3">
        <v>-0.11484909</v>
      </c>
      <c r="I109" s="3" t="s">
        <v>2</v>
      </c>
      <c r="J109" s="3"/>
      <c r="K109" s="3">
        <v>22.955275</v>
      </c>
      <c r="L109" s="3">
        <v>1997</v>
      </c>
      <c r="M109" s="3">
        <v>-0.50476074000000004</v>
      </c>
      <c r="N109" s="3" t="s">
        <v>2</v>
      </c>
    </row>
    <row r="110" spans="1:14" x14ac:dyDescent="0.3">
      <c r="A110" s="3">
        <v>27.505527000000001</v>
      </c>
      <c r="B110" s="3">
        <v>1998</v>
      </c>
      <c r="C110" s="3">
        <v>0.73920629999999998</v>
      </c>
      <c r="D110" s="3" t="s">
        <v>2</v>
      </c>
      <c r="E110" s="3"/>
      <c r="F110" s="3">
        <v>31.018554999999999</v>
      </c>
      <c r="G110" s="3">
        <v>1998</v>
      </c>
      <c r="H110" s="3">
        <v>0.94595530000000005</v>
      </c>
      <c r="I110" s="3" t="s">
        <v>2</v>
      </c>
      <c r="J110" s="3"/>
      <c r="K110" s="3">
        <v>23.992466</v>
      </c>
      <c r="L110" s="3">
        <v>1998</v>
      </c>
      <c r="M110" s="3">
        <v>0.53243065000000001</v>
      </c>
      <c r="N110" s="3" t="s">
        <v>2</v>
      </c>
    </row>
    <row r="111" spans="1:14" x14ac:dyDescent="0.3">
      <c r="A111" s="3">
        <v>26.273733</v>
      </c>
      <c r="B111" s="3">
        <v>1999</v>
      </c>
      <c r="C111" s="3">
        <v>-0.49258804</v>
      </c>
      <c r="D111" s="3" t="s">
        <v>2</v>
      </c>
      <c r="E111" s="3"/>
      <c r="F111" s="3">
        <v>29.449549999999999</v>
      </c>
      <c r="G111" s="3">
        <v>1999</v>
      </c>
      <c r="H111" s="3">
        <v>-0.62304879999999996</v>
      </c>
      <c r="I111" s="3" t="s">
        <v>2</v>
      </c>
      <c r="J111" s="3"/>
      <c r="K111" s="3">
        <v>23.097916000000001</v>
      </c>
      <c r="L111" s="3">
        <v>1999</v>
      </c>
      <c r="M111" s="3">
        <v>-0.36211967</v>
      </c>
      <c r="N111" s="3" t="s">
        <v>2</v>
      </c>
    </row>
    <row r="112" spans="1:14" x14ac:dyDescent="0.3">
      <c r="A112" s="3">
        <v>26.040737</v>
      </c>
      <c r="B112" s="3">
        <v>2000</v>
      </c>
      <c r="C112" s="3">
        <v>-0.72558403000000005</v>
      </c>
      <c r="D112" s="3" t="s">
        <v>2</v>
      </c>
      <c r="E112" s="3"/>
      <c r="F112" s="3">
        <v>29.455624</v>
      </c>
      <c r="G112" s="3">
        <v>2000</v>
      </c>
      <c r="H112" s="3">
        <v>-0.61697579999999996</v>
      </c>
      <c r="I112" s="3" t="s">
        <v>2</v>
      </c>
      <c r="J112" s="3"/>
      <c r="K112" s="3">
        <v>22.625831999999999</v>
      </c>
      <c r="L112" s="3">
        <v>2000</v>
      </c>
      <c r="M112" s="3">
        <v>-0.83420369999999999</v>
      </c>
      <c r="N112" s="3" t="s">
        <v>2</v>
      </c>
    </row>
    <row r="113" spans="1:14" x14ac:dyDescent="0.3">
      <c r="A113" s="3">
        <v>26.302135</v>
      </c>
      <c r="B113" s="3">
        <v>2001</v>
      </c>
      <c r="C113" s="3">
        <v>-0.46418569999999998</v>
      </c>
      <c r="D113" s="3" t="s">
        <v>2</v>
      </c>
      <c r="E113" s="3"/>
      <c r="F113" s="3">
        <v>29.991160000000001</v>
      </c>
      <c r="G113" s="3">
        <v>2001</v>
      </c>
      <c r="H113" s="3">
        <v>-8.143997E-2</v>
      </c>
      <c r="I113" s="3" t="s">
        <v>2</v>
      </c>
      <c r="J113" s="3"/>
      <c r="K113" s="3">
        <v>22.613137999999999</v>
      </c>
      <c r="L113" s="3">
        <v>2001</v>
      </c>
      <c r="M113" s="3">
        <v>-0.84689709999999996</v>
      </c>
      <c r="N113" s="3" t="s">
        <v>2</v>
      </c>
    </row>
    <row r="114" spans="1:14" x14ac:dyDescent="0.3">
      <c r="A114" s="3">
        <v>26.73096</v>
      </c>
      <c r="B114" s="3">
        <v>2002</v>
      </c>
      <c r="C114" s="3">
        <v>-3.5360335999999999E-2</v>
      </c>
      <c r="D114" s="3" t="s">
        <v>2</v>
      </c>
      <c r="E114" s="3"/>
      <c r="F114" s="3">
        <v>30.117393</v>
      </c>
      <c r="G114" s="3">
        <v>2002</v>
      </c>
      <c r="H114" s="3">
        <v>4.4794082999999998E-2</v>
      </c>
      <c r="I114" s="3" t="s">
        <v>2</v>
      </c>
      <c r="J114" s="3"/>
      <c r="K114" s="3">
        <v>23.344519999999999</v>
      </c>
      <c r="L114" s="3">
        <v>2002</v>
      </c>
      <c r="M114" s="3">
        <v>-0.115514755</v>
      </c>
      <c r="N114" s="3" t="s">
        <v>2</v>
      </c>
    </row>
    <row r="115" spans="1:14" x14ac:dyDescent="0.3">
      <c r="A115" s="3">
        <v>26.974342</v>
      </c>
      <c r="B115" s="3">
        <v>2003</v>
      </c>
      <c r="C115" s="3">
        <v>0.20802116000000001</v>
      </c>
      <c r="D115" s="3" t="s">
        <v>2</v>
      </c>
      <c r="E115" s="3"/>
      <c r="F115" s="3">
        <v>30.528082000000001</v>
      </c>
      <c r="G115" s="3">
        <v>2003</v>
      </c>
      <c r="H115" s="3">
        <v>0.45548248000000002</v>
      </c>
      <c r="I115" s="3" t="s">
        <v>2</v>
      </c>
      <c r="J115" s="3"/>
      <c r="K115" s="3">
        <v>23.420556999999999</v>
      </c>
      <c r="L115" s="3">
        <v>2003</v>
      </c>
      <c r="M115" s="3">
        <v>-3.9478302E-2</v>
      </c>
      <c r="N115" s="3" t="s">
        <v>2</v>
      </c>
    </row>
    <row r="116" spans="1:14" x14ac:dyDescent="0.3">
      <c r="A116" s="3">
        <v>27.014089999999999</v>
      </c>
      <c r="B116" s="3">
        <v>2004</v>
      </c>
      <c r="C116" s="3">
        <v>0.2477684</v>
      </c>
      <c r="D116" s="3" t="s">
        <v>2</v>
      </c>
      <c r="E116" s="3"/>
      <c r="F116" s="3">
        <v>30.105785000000001</v>
      </c>
      <c r="G116" s="3">
        <v>2004</v>
      </c>
      <c r="H116" s="3">
        <v>3.318596E-2</v>
      </c>
      <c r="I116" s="3" t="s">
        <v>2</v>
      </c>
      <c r="J116" s="3"/>
      <c r="K116" s="3">
        <v>23.922432000000001</v>
      </c>
      <c r="L116" s="3">
        <v>2004</v>
      </c>
      <c r="M116" s="3">
        <v>0.46239661999999998</v>
      </c>
      <c r="N116" s="3" t="s">
        <v>2</v>
      </c>
    </row>
    <row r="117" spans="1:14" x14ac:dyDescent="0.3">
      <c r="A117" s="3">
        <v>27.038229000000001</v>
      </c>
      <c r="B117" s="3">
        <v>2005</v>
      </c>
      <c r="C117" s="3">
        <v>0.27190779999999998</v>
      </c>
      <c r="D117" s="3" t="s">
        <v>2</v>
      </c>
      <c r="E117" s="3"/>
      <c r="F117" s="3">
        <v>30.330079999999999</v>
      </c>
      <c r="G117" s="3">
        <v>2005</v>
      </c>
      <c r="H117" s="3">
        <v>0.25748061999999999</v>
      </c>
      <c r="I117" s="3" t="s">
        <v>2</v>
      </c>
      <c r="J117" s="3"/>
      <c r="K117" s="3">
        <v>23.746355000000001</v>
      </c>
      <c r="L117" s="3">
        <v>2005</v>
      </c>
      <c r="M117" s="3">
        <v>0.28631972999999999</v>
      </c>
      <c r="N117" s="3" t="s">
        <v>2</v>
      </c>
    </row>
    <row r="118" spans="1:14" x14ac:dyDescent="0.3">
      <c r="A118" s="3">
        <v>26.616762000000001</v>
      </c>
      <c r="B118" s="3">
        <v>2006</v>
      </c>
      <c r="C118" s="3">
        <v>-0.14955901999999999</v>
      </c>
      <c r="D118" s="3" t="s">
        <v>2</v>
      </c>
      <c r="E118" s="3"/>
      <c r="F118" s="3">
        <v>29.796610000000001</v>
      </c>
      <c r="G118" s="3">
        <v>2006</v>
      </c>
      <c r="H118" s="3">
        <v>-0.27598952999999998</v>
      </c>
      <c r="I118" s="3" t="s">
        <v>2</v>
      </c>
      <c r="J118" s="3"/>
      <c r="K118" s="3">
        <v>23.436892</v>
      </c>
      <c r="L118" s="3">
        <v>2006</v>
      </c>
      <c r="M118" s="3">
        <v>-2.3143767999999999E-2</v>
      </c>
      <c r="N118" s="3" t="s">
        <v>2</v>
      </c>
    </row>
    <row r="119" spans="1:14" x14ac:dyDescent="0.3">
      <c r="A119" s="3">
        <v>27.016607</v>
      </c>
      <c r="B119" s="3">
        <v>2007</v>
      </c>
      <c r="C119" s="3">
        <v>0.25028610000000001</v>
      </c>
      <c r="D119" s="3" t="s">
        <v>2</v>
      </c>
      <c r="E119" s="3"/>
      <c r="F119" s="3">
        <v>30.361788000000001</v>
      </c>
      <c r="G119" s="3">
        <v>2007</v>
      </c>
      <c r="H119" s="3">
        <v>0.28918839000000002</v>
      </c>
      <c r="I119" s="3" t="s">
        <v>2</v>
      </c>
      <c r="J119" s="3"/>
      <c r="K119" s="3">
        <v>23.671386999999999</v>
      </c>
      <c r="L119" s="3">
        <v>2007</v>
      </c>
      <c r="M119" s="3">
        <v>0.21135139999999999</v>
      </c>
      <c r="N119" s="3" t="s">
        <v>2</v>
      </c>
    </row>
    <row r="120" spans="1:14" x14ac:dyDescent="0.3">
      <c r="A120" s="3">
        <v>26.383430000000001</v>
      </c>
      <c r="B120" s="3">
        <v>2008</v>
      </c>
      <c r="C120" s="3">
        <v>-0.38289069999999997</v>
      </c>
      <c r="D120" s="3" t="s">
        <v>2</v>
      </c>
      <c r="E120" s="3"/>
      <c r="F120" s="3">
        <v>29.728881999999999</v>
      </c>
      <c r="G120" s="3">
        <v>2008</v>
      </c>
      <c r="H120" s="3">
        <v>-0.34371758000000002</v>
      </c>
      <c r="I120" s="3" t="s">
        <v>2</v>
      </c>
      <c r="J120" s="3"/>
      <c r="K120" s="3">
        <v>23.038005999999999</v>
      </c>
      <c r="L120" s="3">
        <v>2008</v>
      </c>
      <c r="M120" s="3">
        <v>-0.4220295</v>
      </c>
      <c r="N120" s="3" t="s">
        <v>2</v>
      </c>
    </row>
    <row r="121" spans="1:14" x14ac:dyDescent="0.3">
      <c r="A121" s="3">
        <v>26.614557000000001</v>
      </c>
      <c r="B121" s="3">
        <v>2009</v>
      </c>
      <c r="C121" s="3">
        <v>-0.15176392</v>
      </c>
      <c r="D121" s="3" t="s">
        <v>2</v>
      </c>
      <c r="E121" s="3"/>
      <c r="F121" s="3">
        <v>29.691573999999999</v>
      </c>
      <c r="G121" s="3">
        <v>2009</v>
      </c>
      <c r="H121" s="3">
        <v>-0.38102530000000001</v>
      </c>
      <c r="I121" s="3" t="s">
        <v>2</v>
      </c>
      <c r="J121" s="3"/>
      <c r="K121" s="3">
        <v>23.537510000000001</v>
      </c>
      <c r="L121" s="3">
        <v>2009</v>
      </c>
      <c r="M121" s="3">
        <v>7.7474593999999994E-2</v>
      </c>
      <c r="N121" s="3" t="s">
        <v>2</v>
      </c>
    </row>
    <row r="122" spans="1:14" x14ac:dyDescent="0.3">
      <c r="A122" s="3">
        <v>27.605799000000001</v>
      </c>
      <c r="B122" s="3">
        <v>2010</v>
      </c>
      <c r="C122" s="3">
        <v>0.83947753999999997</v>
      </c>
      <c r="D122" s="3" t="s">
        <v>2</v>
      </c>
      <c r="E122" s="3"/>
      <c r="F122" s="3">
        <v>30.559961000000001</v>
      </c>
      <c r="G122" s="3">
        <v>2010</v>
      </c>
      <c r="H122" s="3">
        <v>0.48736190000000001</v>
      </c>
      <c r="I122" s="3" t="s">
        <v>2</v>
      </c>
      <c r="J122" s="3"/>
      <c r="K122" s="3">
        <v>24.651631999999999</v>
      </c>
      <c r="L122" s="3">
        <v>2010</v>
      </c>
      <c r="M122" s="3">
        <v>1.191597</v>
      </c>
      <c r="N122" s="3" t="s">
        <v>2</v>
      </c>
    </row>
    <row r="123" spans="1:14" x14ac:dyDescent="0.3">
      <c r="A123" s="3">
        <v>26.386084</v>
      </c>
      <c r="B123" s="3">
        <v>2011</v>
      </c>
      <c r="C123" s="3">
        <v>-0.38023758000000002</v>
      </c>
      <c r="D123" s="3" t="s">
        <v>2</v>
      </c>
      <c r="E123" s="3"/>
      <c r="F123" s="3">
        <v>29.633436</v>
      </c>
      <c r="G123" s="3">
        <v>2011</v>
      </c>
      <c r="H123" s="3">
        <v>-0.43916319999999998</v>
      </c>
      <c r="I123" s="3" t="s">
        <v>2</v>
      </c>
      <c r="J123" s="3"/>
      <c r="K123" s="3">
        <v>23.138667999999999</v>
      </c>
      <c r="L123" s="3">
        <v>2011</v>
      </c>
      <c r="M123" s="3">
        <v>-0.32136725999999999</v>
      </c>
      <c r="N123" s="3" t="s">
        <v>2</v>
      </c>
    </row>
    <row r="124" spans="1:14" x14ac:dyDescent="0.3">
      <c r="A124" s="3">
        <v>26.94877</v>
      </c>
      <c r="B124" s="3">
        <v>2012</v>
      </c>
      <c r="C124" s="3">
        <v>0.18244933999999999</v>
      </c>
      <c r="D124" s="3" t="s">
        <v>2</v>
      </c>
      <c r="E124" s="3"/>
      <c r="F124" s="3">
        <v>29.996936999999999</v>
      </c>
      <c r="G124" s="3">
        <v>2012</v>
      </c>
      <c r="H124" s="3">
        <v>-7.5662610000000005E-2</v>
      </c>
      <c r="I124" s="3" t="s">
        <v>2</v>
      </c>
      <c r="J124" s="3"/>
      <c r="K124" s="3">
        <v>23.900566000000001</v>
      </c>
      <c r="L124" s="3">
        <v>2012</v>
      </c>
      <c r="M124" s="3">
        <v>0.44053078000000001</v>
      </c>
      <c r="N124" s="3" t="s">
        <v>2</v>
      </c>
    </row>
    <row r="125" spans="1:14" x14ac:dyDescent="0.3">
      <c r="A125" s="3">
        <v>27.074524</v>
      </c>
      <c r="B125" s="3">
        <v>2013</v>
      </c>
      <c r="C125" s="3">
        <v>0.30820273999999998</v>
      </c>
      <c r="D125" s="3" t="s">
        <v>2</v>
      </c>
      <c r="E125" s="3"/>
      <c r="F125" s="3">
        <v>29.907136999999999</v>
      </c>
      <c r="G125" s="3">
        <v>2013</v>
      </c>
      <c r="H125" s="3">
        <v>-0.16546250000000001</v>
      </c>
      <c r="I125" s="3" t="s">
        <v>2</v>
      </c>
      <c r="J125" s="3"/>
      <c r="K125" s="3">
        <v>24.241890000000001</v>
      </c>
      <c r="L125" s="3">
        <v>2013</v>
      </c>
      <c r="M125" s="3">
        <v>0.78185459999999996</v>
      </c>
      <c r="N125" s="3" t="s">
        <v>2</v>
      </c>
    </row>
    <row r="126" spans="1:14" x14ac:dyDescent="0.3">
      <c r="A126" s="3">
        <v>26.814579999999999</v>
      </c>
      <c r="B126" s="3">
        <v>2014</v>
      </c>
      <c r="C126" s="3">
        <v>4.8259734999999998E-2</v>
      </c>
      <c r="D126" s="3" t="s">
        <v>2</v>
      </c>
      <c r="E126" s="3"/>
      <c r="F126" s="3">
        <v>30.164504999999998</v>
      </c>
      <c r="G126" s="3">
        <v>2014</v>
      </c>
      <c r="H126" s="3">
        <v>9.1905593999999993E-2</v>
      </c>
      <c r="I126" s="3" t="s">
        <v>2</v>
      </c>
      <c r="J126" s="3"/>
      <c r="K126" s="3">
        <v>23.46463</v>
      </c>
      <c r="L126" s="3">
        <v>2014</v>
      </c>
      <c r="M126" s="3">
        <v>4.5948029999999997E-3</v>
      </c>
      <c r="N126" s="3" t="s">
        <v>2</v>
      </c>
    </row>
    <row r="127" spans="1:14" x14ac:dyDescent="0.3">
      <c r="A127" s="3">
        <v>26.992756</v>
      </c>
      <c r="B127" s="3">
        <v>2015</v>
      </c>
      <c r="C127" s="3">
        <v>0.22643471000000001</v>
      </c>
      <c r="D127" s="3" t="s">
        <v>2</v>
      </c>
      <c r="E127" s="3"/>
      <c r="F127" s="3">
        <v>30.059837000000002</v>
      </c>
      <c r="G127" s="3">
        <v>2015</v>
      </c>
      <c r="H127" s="3">
        <v>-1.276207E-2</v>
      </c>
      <c r="I127" s="3" t="s">
        <v>2</v>
      </c>
      <c r="J127" s="3"/>
      <c r="K127" s="3">
        <v>23.925697</v>
      </c>
      <c r="L127" s="3">
        <v>2015</v>
      </c>
      <c r="M127" s="3">
        <v>0.46566200000000002</v>
      </c>
      <c r="N127" s="3" t="s">
        <v>2</v>
      </c>
    </row>
    <row r="128" spans="1:14" x14ac:dyDescent="0.3">
      <c r="A128" s="3">
        <v>27.346171999999999</v>
      </c>
      <c r="B128" s="3">
        <v>2016</v>
      </c>
      <c r="C128" s="3">
        <v>0.57985114999999998</v>
      </c>
      <c r="D128" s="3" t="s">
        <v>2</v>
      </c>
      <c r="E128" s="3"/>
      <c r="F128" s="3">
        <v>30.853930999999999</v>
      </c>
      <c r="G128" s="3">
        <v>2016</v>
      </c>
      <c r="H128" s="3">
        <v>0.78133200000000003</v>
      </c>
      <c r="I128" s="3" t="s">
        <v>2</v>
      </c>
      <c r="J128" s="3"/>
      <c r="K128" s="3">
        <v>23.838438</v>
      </c>
      <c r="L128" s="3">
        <v>2016</v>
      </c>
      <c r="M128" s="3">
        <v>0.37840269999999998</v>
      </c>
      <c r="N128" s="3" t="s">
        <v>2</v>
      </c>
    </row>
    <row r="129" spans="1:14" x14ac:dyDescent="0.3">
      <c r="A129" s="3">
        <v>26.858418</v>
      </c>
      <c r="B129" s="3">
        <v>2017</v>
      </c>
      <c r="C129" s="3">
        <v>9.2096330000000004E-2</v>
      </c>
      <c r="D129" s="3" t="s">
        <v>2</v>
      </c>
      <c r="E129" s="3"/>
      <c r="F129" s="3">
        <v>30.083036</v>
      </c>
      <c r="G129" s="3">
        <v>2017</v>
      </c>
      <c r="H129" s="3">
        <v>1.0437012000000001E-2</v>
      </c>
      <c r="I129" s="3" t="s">
        <v>2</v>
      </c>
      <c r="J129" s="3"/>
      <c r="K129" s="3">
        <v>23.633790999999999</v>
      </c>
      <c r="L129" s="3">
        <v>2017</v>
      </c>
      <c r="M129" s="3">
        <v>0.17375565000000001</v>
      </c>
      <c r="N129" s="3" t="s">
        <v>2</v>
      </c>
    </row>
    <row r="130" spans="1:14" x14ac:dyDescent="0.3">
      <c r="A130" s="3">
        <v>26.749404999999999</v>
      </c>
      <c r="B130" s="3">
        <v>2018</v>
      </c>
      <c r="C130" s="3">
        <v>-1.6916275000000001E-2</v>
      </c>
      <c r="D130" s="3" t="s">
        <v>2</v>
      </c>
      <c r="E130" s="3"/>
      <c r="F130" s="3">
        <v>29.971579999999999</v>
      </c>
      <c r="G130" s="3">
        <v>2018</v>
      </c>
      <c r="H130" s="3">
        <v>-0.10101890600000001</v>
      </c>
      <c r="I130" s="3" t="s">
        <v>2</v>
      </c>
      <c r="J130" s="3"/>
      <c r="K130" s="3">
        <v>23.527200000000001</v>
      </c>
      <c r="L130" s="3">
        <v>2018</v>
      </c>
      <c r="M130" s="3">
        <v>6.7165374999999999E-2</v>
      </c>
      <c r="N130" s="3" t="s">
        <v>2</v>
      </c>
    </row>
    <row r="131" spans="1:14" x14ac:dyDescent="0.3">
      <c r="A131" s="3">
        <v>27.054061999999998</v>
      </c>
      <c r="B131" s="3">
        <v>2019</v>
      </c>
      <c r="C131" s="3">
        <v>0.28774070000000002</v>
      </c>
      <c r="D131" s="3" t="s">
        <v>2</v>
      </c>
      <c r="E131" s="3"/>
      <c r="F131" s="3">
        <v>30.289283999999999</v>
      </c>
      <c r="G131" s="3">
        <v>2019</v>
      </c>
      <c r="H131" s="3">
        <v>0.21668434</v>
      </c>
      <c r="I131" s="3" t="s">
        <v>2</v>
      </c>
      <c r="J131" s="3"/>
      <c r="K131" s="3">
        <v>23.818804</v>
      </c>
      <c r="L131" s="3">
        <v>2019</v>
      </c>
      <c r="M131" s="3">
        <v>0.35876846000000001</v>
      </c>
      <c r="N131" s="3" t="s">
        <v>2</v>
      </c>
    </row>
    <row r="132" spans="1:14" x14ac:dyDescent="0.3">
      <c r="A132" s="3">
        <v>26.923307000000001</v>
      </c>
      <c r="B132" s="3">
        <v>2020</v>
      </c>
      <c r="C132" s="3">
        <v>0.15698624</v>
      </c>
      <c r="D132" s="3" t="s">
        <v>2</v>
      </c>
      <c r="E132" s="3"/>
      <c r="F132" s="3">
        <v>30.441745999999998</v>
      </c>
      <c r="G132" s="3">
        <v>2020</v>
      </c>
      <c r="H132" s="3">
        <v>0.36914635000000001</v>
      </c>
      <c r="I132" s="3" t="s">
        <v>2</v>
      </c>
      <c r="J132" s="3"/>
      <c r="K132" s="3">
        <v>23.404879999999999</v>
      </c>
      <c r="L132" s="3">
        <v>2020</v>
      </c>
      <c r="M132" s="3">
        <v>-5.5154799999999997E-2</v>
      </c>
      <c r="N132" s="3" t="s">
        <v>2</v>
      </c>
    </row>
    <row r="133" spans="1:14" x14ac:dyDescent="0.3">
      <c r="A133" s="3">
        <v>26.5184</v>
      </c>
      <c r="B133" s="3">
        <v>2021</v>
      </c>
      <c r="C133" s="3">
        <v>-0.24792099000000001</v>
      </c>
      <c r="D133" s="3" t="s">
        <v>2</v>
      </c>
      <c r="E133" s="3"/>
      <c r="F133" s="3">
        <v>29.825823</v>
      </c>
      <c r="G133" s="3">
        <v>2021</v>
      </c>
      <c r="H133" s="3">
        <v>-0.24677658</v>
      </c>
      <c r="I133" s="3" t="s">
        <v>2</v>
      </c>
      <c r="J133" s="3"/>
      <c r="K133" s="3">
        <v>23.210922</v>
      </c>
      <c r="L133" s="3">
        <v>2021</v>
      </c>
      <c r="M133" s="3">
        <v>-0.24911307999999999</v>
      </c>
      <c r="N133" s="3" t="s">
        <v>2</v>
      </c>
    </row>
    <row r="134" spans="1:14" x14ac:dyDescent="0.3">
      <c r="A134" s="3">
        <v>26.690252000000001</v>
      </c>
      <c r="B134" s="3">
        <v>2022</v>
      </c>
      <c r="C134" s="3">
        <v>-7.6068880000000005E-2</v>
      </c>
      <c r="D134" s="3" t="s">
        <v>2</v>
      </c>
      <c r="E134" s="3"/>
      <c r="F134" s="3">
        <v>29.912351999999998</v>
      </c>
      <c r="G134" s="3">
        <v>2022</v>
      </c>
      <c r="H134" s="3">
        <v>-0.1602478</v>
      </c>
      <c r="I134" s="3" t="s">
        <v>2</v>
      </c>
      <c r="J134" s="3"/>
      <c r="K134" s="3">
        <v>23.468146999999998</v>
      </c>
      <c r="L134" s="3">
        <v>2022</v>
      </c>
      <c r="M134" s="3">
        <v>8.1119539999999993E-3</v>
      </c>
      <c r="N134" s="3" t="s">
        <v>2</v>
      </c>
    </row>
    <row r="135" spans="1:14" x14ac:dyDescent="0.3">
      <c r="A135" s="3">
        <v>26.652360000000002</v>
      </c>
      <c r="B135" s="3">
        <v>2023</v>
      </c>
      <c r="C135" s="3">
        <v>-0.113960266</v>
      </c>
      <c r="D135" s="3" t="s">
        <v>2</v>
      </c>
      <c r="E135" s="3"/>
      <c r="F135" s="3">
        <v>30.054248999999999</v>
      </c>
      <c r="G135" s="3">
        <v>2023</v>
      </c>
      <c r="H135" s="3">
        <v>-1.8350601000000001E-2</v>
      </c>
      <c r="I135" s="3" t="s">
        <v>2</v>
      </c>
      <c r="J135" s="3"/>
      <c r="K135" s="3">
        <v>23.250537999999999</v>
      </c>
      <c r="L135" s="3">
        <v>2023</v>
      </c>
      <c r="M135" s="3">
        <v>-0.20949745</v>
      </c>
      <c r="N135" s="3" t="s">
        <v>2</v>
      </c>
    </row>
    <row r="136" spans="1:14" x14ac:dyDescent="0.3">
      <c r="A136" s="3">
        <v>27.612808000000001</v>
      </c>
      <c r="B136" s="3">
        <v>2024</v>
      </c>
      <c r="C136" s="3">
        <v>0.84648705000000002</v>
      </c>
      <c r="D136" s="3" t="s">
        <v>2</v>
      </c>
      <c r="E136" s="3"/>
      <c r="F136" s="3">
        <v>31.009933</v>
      </c>
      <c r="G136" s="3">
        <v>2024</v>
      </c>
      <c r="H136" s="3">
        <v>0.93733405999999997</v>
      </c>
      <c r="I136" s="3" t="s">
        <v>2</v>
      </c>
      <c r="J136" s="3"/>
      <c r="K136" s="3">
        <v>24.215686999999999</v>
      </c>
      <c r="L136" s="3">
        <v>2024</v>
      </c>
      <c r="M136" s="3">
        <v>0.75565150000000003</v>
      </c>
      <c r="N136" s="3" t="s">
        <v>2</v>
      </c>
    </row>
    <row r="137" spans="1:14" x14ac:dyDescent="0.3">
      <c r="A137" s="3">
        <v>26.721468000000002</v>
      </c>
      <c r="B137" s="3">
        <v>2025</v>
      </c>
      <c r="C137" s="3">
        <v>-4.4853209999999998E-2</v>
      </c>
      <c r="D137" s="3" t="s">
        <v>2</v>
      </c>
      <c r="E137" s="3"/>
      <c r="F137" s="3">
        <v>29.718537999999999</v>
      </c>
      <c r="G137" s="3">
        <v>2025</v>
      </c>
      <c r="H137" s="3">
        <v>-0.35406113</v>
      </c>
      <c r="I137" s="3" t="s">
        <v>2</v>
      </c>
      <c r="J137" s="3"/>
      <c r="K137" s="3">
        <v>23.72439</v>
      </c>
      <c r="L137" s="3">
        <v>2025</v>
      </c>
      <c r="M137" s="3">
        <v>0.2643547</v>
      </c>
      <c r="N137" s="3" t="s">
        <v>2</v>
      </c>
    </row>
    <row r="138" spans="1:14" x14ac:dyDescent="0.3">
      <c r="A138" s="3">
        <v>26.659089999999999</v>
      </c>
      <c r="B138" s="3">
        <v>1981</v>
      </c>
      <c r="C138" s="3">
        <v>-0.32789040000000003</v>
      </c>
      <c r="D138" s="3" t="s">
        <v>3</v>
      </c>
      <c r="E138" s="3"/>
      <c r="F138" s="3">
        <v>29.411922000000001</v>
      </c>
      <c r="G138" s="3">
        <v>1981</v>
      </c>
      <c r="H138" s="3">
        <v>-0.69965935000000001</v>
      </c>
      <c r="I138" s="3" t="s">
        <v>3</v>
      </c>
      <c r="J138" s="3"/>
      <c r="K138" s="3">
        <v>23.906271</v>
      </c>
      <c r="L138" s="3">
        <v>1981</v>
      </c>
      <c r="M138" s="3">
        <v>4.3882369999999997E-2</v>
      </c>
      <c r="N138" s="3" t="s">
        <v>3</v>
      </c>
    </row>
    <row r="139" spans="1:14" x14ac:dyDescent="0.3">
      <c r="A139" s="3">
        <v>26.727260000000001</v>
      </c>
      <c r="B139" s="3">
        <v>1982</v>
      </c>
      <c r="C139" s="3">
        <v>-0.25971984999999997</v>
      </c>
      <c r="D139" s="3" t="s">
        <v>3</v>
      </c>
      <c r="E139" s="3"/>
      <c r="F139" s="3">
        <v>29.925097000000001</v>
      </c>
      <c r="G139" s="3">
        <v>1982</v>
      </c>
      <c r="H139" s="3">
        <v>-0.18648529</v>
      </c>
      <c r="I139" s="3" t="s">
        <v>3</v>
      </c>
      <c r="J139" s="3"/>
      <c r="K139" s="3">
        <v>23.529415</v>
      </c>
      <c r="L139" s="3">
        <v>1982</v>
      </c>
      <c r="M139" s="3">
        <v>-0.33297347999999999</v>
      </c>
      <c r="N139" s="3" t="s">
        <v>3</v>
      </c>
    </row>
    <row r="140" spans="1:14" x14ac:dyDescent="0.3">
      <c r="A140" s="3">
        <v>27.327117999999999</v>
      </c>
      <c r="B140" s="3">
        <v>1983</v>
      </c>
      <c r="C140" s="3">
        <v>0.34013747999999999</v>
      </c>
      <c r="D140" s="3" t="s">
        <v>3</v>
      </c>
      <c r="E140" s="3"/>
      <c r="F140" s="3">
        <v>30.654555999999999</v>
      </c>
      <c r="G140" s="3">
        <v>1983</v>
      </c>
      <c r="H140" s="3">
        <v>0.54297450000000003</v>
      </c>
      <c r="I140" s="3" t="s">
        <v>3</v>
      </c>
      <c r="J140" s="3"/>
      <c r="K140" s="3">
        <v>23.999697000000001</v>
      </c>
      <c r="L140" s="3">
        <v>1983</v>
      </c>
      <c r="M140" s="3">
        <v>0.13730812000000001</v>
      </c>
      <c r="N140" s="3" t="s">
        <v>3</v>
      </c>
    </row>
    <row r="141" spans="1:14" x14ac:dyDescent="0.3">
      <c r="A141" s="3">
        <v>26.395344000000001</v>
      </c>
      <c r="B141" s="3">
        <v>1984</v>
      </c>
      <c r="C141" s="3">
        <v>-0.59163666000000004</v>
      </c>
      <c r="D141" s="3" t="s">
        <v>3</v>
      </c>
      <c r="E141" s="3"/>
      <c r="F141" s="3">
        <v>29.60088</v>
      </c>
      <c r="G141" s="3">
        <v>1984</v>
      </c>
      <c r="H141" s="3">
        <v>-0.51070212999999998</v>
      </c>
      <c r="I141" s="3" t="s">
        <v>3</v>
      </c>
      <c r="J141" s="3"/>
      <c r="K141" s="3">
        <v>23.189779999999999</v>
      </c>
      <c r="L141" s="3">
        <v>1984</v>
      </c>
      <c r="M141" s="3">
        <v>-0.67260929999999997</v>
      </c>
      <c r="N141" s="3" t="s">
        <v>3</v>
      </c>
    </row>
    <row r="142" spans="1:14" x14ac:dyDescent="0.3">
      <c r="A142" s="3">
        <v>26.412770999999999</v>
      </c>
      <c r="B142" s="3">
        <v>1985</v>
      </c>
      <c r="C142" s="3">
        <v>-0.57420919999999998</v>
      </c>
      <c r="D142" s="3" t="s">
        <v>3</v>
      </c>
      <c r="E142" s="3"/>
      <c r="F142" s="3">
        <v>29.755527000000001</v>
      </c>
      <c r="G142" s="3">
        <v>1985</v>
      </c>
      <c r="H142" s="3">
        <v>-0.35605429999999999</v>
      </c>
      <c r="I142" s="3" t="s">
        <v>3</v>
      </c>
      <c r="J142" s="3"/>
      <c r="K142" s="3">
        <v>23.07</v>
      </c>
      <c r="L142" s="3">
        <v>1985</v>
      </c>
      <c r="M142" s="3">
        <v>-0.79238889999999995</v>
      </c>
      <c r="N142" s="3" t="s">
        <v>3</v>
      </c>
    </row>
    <row r="143" spans="1:14" x14ac:dyDescent="0.3">
      <c r="A143" s="3">
        <v>26.50329</v>
      </c>
      <c r="B143" s="3">
        <v>1986</v>
      </c>
      <c r="C143" s="3">
        <v>-0.48369025999999998</v>
      </c>
      <c r="D143" s="3" t="s">
        <v>3</v>
      </c>
      <c r="E143" s="3"/>
      <c r="F143" s="3">
        <v>29.489128000000001</v>
      </c>
      <c r="G143" s="3">
        <v>1986</v>
      </c>
      <c r="H143" s="3">
        <v>-0.6224537</v>
      </c>
      <c r="I143" s="3" t="s">
        <v>3</v>
      </c>
      <c r="J143" s="3"/>
      <c r="K143" s="3">
        <v>23.517430999999998</v>
      </c>
      <c r="L143" s="3">
        <v>1986</v>
      </c>
      <c r="M143" s="3">
        <v>-0.34495735</v>
      </c>
      <c r="N143" s="3" t="s">
        <v>3</v>
      </c>
    </row>
    <row r="144" spans="1:14" x14ac:dyDescent="0.3">
      <c r="A144" s="3">
        <v>26.894622999999999</v>
      </c>
      <c r="B144" s="3">
        <v>1987</v>
      </c>
      <c r="C144" s="3">
        <v>-9.2357634999999993E-2</v>
      </c>
      <c r="D144" s="3" t="s">
        <v>3</v>
      </c>
      <c r="E144" s="3"/>
      <c r="F144" s="3">
        <v>29.759321</v>
      </c>
      <c r="G144" s="3">
        <v>1987</v>
      </c>
      <c r="H144" s="3">
        <v>-0.35226059999999998</v>
      </c>
      <c r="I144" s="3" t="s">
        <v>3</v>
      </c>
      <c r="J144" s="3"/>
      <c r="K144" s="3">
        <v>24.029964</v>
      </c>
      <c r="L144" s="3">
        <v>1987</v>
      </c>
      <c r="M144" s="3">
        <v>0.16757584</v>
      </c>
      <c r="N144" s="3" t="s">
        <v>3</v>
      </c>
    </row>
    <row r="145" spans="1:14" x14ac:dyDescent="0.3">
      <c r="A145" s="3">
        <v>26.762716000000001</v>
      </c>
      <c r="B145" s="3">
        <v>1988</v>
      </c>
      <c r="C145" s="3">
        <v>-0.22426414</v>
      </c>
      <c r="D145" s="3" t="s">
        <v>3</v>
      </c>
      <c r="E145" s="3"/>
      <c r="F145" s="3">
        <v>30.055761</v>
      </c>
      <c r="G145" s="3">
        <v>1988</v>
      </c>
      <c r="H145" s="3">
        <v>-5.5820465E-2</v>
      </c>
      <c r="I145" s="3" t="s">
        <v>3</v>
      </c>
      <c r="J145" s="3"/>
      <c r="K145" s="3">
        <v>23.469614</v>
      </c>
      <c r="L145" s="3">
        <v>1988</v>
      </c>
      <c r="M145" s="3">
        <v>-0.39277457999999998</v>
      </c>
      <c r="N145" s="3" t="s">
        <v>3</v>
      </c>
    </row>
    <row r="146" spans="1:14" x14ac:dyDescent="0.3">
      <c r="A146" s="3">
        <v>26.40803</v>
      </c>
      <c r="B146" s="3">
        <v>1989</v>
      </c>
      <c r="C146" s="3">
        <v>-0.57895090000000005</v>
      </c>
      <c r="D146" s="3" t="s">
        <v>3</v>
      </c>
      <c r="E146" s="3"/>
      <c r="F146" s="3">
        <v>29.720580999999999</v>
      </c>
      <c r="G146" s="3">
        <v>1989</v>
      </c>
      <c r="H146" s="3">
        <v>-0.39100075000000001</v>
      </c>
      <c r="I146" s="3" t="s">
        <v>3</v>
      </c>
      <c r="J146" s="3"/>
      <c r="K146" s="3">
        <v>23.095451000000001</v>
      </c>
      <c r="L146" s="3">
        <v>1989</v>
      </c>
      <c r="M146" s="3">
        <v>-0.76693725999999995</v>
      </c>
      <c r="N146" s="3" t="s">
        <v>3</v>
      </c>
    </row>
    <row r="147" spans="1:14" x14ac:dyDescent="0.3">
      <c r="A147" s="3">
        <v>26.803080000000001</v>
      </c>
      <c r="B147" s="3">
        <v>1990</v>
      </c>
      <c r="C147" s="3">
        <v>-0.18390082999999999</v>
      </c>
      <c r="D147" s="3" t="s">
        <v>3</v>
      </c>
      <c r="E147" s="3"/>
      <c r="F147" s="3">
        <v>29.860703000000001</v>
      </c>
      <c r="G147" s="3">
        <v>1990</v>
      </c>
      <c r="H147" s="3">
        <v>-0.25087930000000003</v>
      </c>
      <c r="I147" s="3" t="s">
        <v>3</v>
      </c>
      <c r="J147" s="3"/>
      <c r="K147" s="3">
        <v>23.745445</v>
      </c>
      <c r="L147" s="3">
        <v>1990</v>
      </c>
      <c r="M147" s="3">
        <v>-0.11694336</v>
      </c>
      <c r="N147" s="3" t="s">
        <v>3</v>
      </c>
    </row>
    <row r="148" spans="1:14" x14ac:dyDescent="0.3">
      <c r="A148" s="3">
        <v>26.745455</v>
      </c>
      <c r="B148" s="3">
        <v>1991</v>
      </c>
      <c r="C148" s="3">
        <v>-0.24152565000000001</v>
      </c>
      <c r="D148" s="3" t="s">
        <v>3</v>
      </c>
      <c r="E148" s="3"/>
      <c r="F148" s="3">
        <v>29.830866</v>
      </c>
      <c r="G148" s="3">
        <v>1991</v>
      </c>
      <c r="H148" s="3">
        <v>-0.28071594</v>
      </c>
      <c r="I148" s="3" t="s">
        <v>3</v>
      </c>
      <c r="J148" s="3"/>
      <c r="K148" s="3">
        <v>23.660034</v>
      </c>
      <c r="L148" s="3">
        <v>1991</v>
      </c>
      <c r="M148" s="3">
        <v>-0.20235443</v>
      </c>
      <c r="N148" s="3" t="s">
        <v>3</v>
      </c>
    </row>
    <row r="149" spans="1:14" x14ac:dyDescent="0.3">
      <c r="A149" s="3">
        <v>27.062494000000001</v>
      </c>
      <c r="B149" s="3">
        <v>1992</v>
      </c>
      <c r="C149" s="3">
        <v>7.5513839999999999E-2</v>
      </c>
      <c r="D149" s="3" t="s">
        <v>3</v>
      </c>
      <c r="E149" s="3"/>
      <c r="F149" s="3">
        <v>30.225054</v>
      </c>
      <c r="G149" s="3">
        <v>1992</v>
      </c>
      <c r="H149" s="3">
        <v>0.113471985</v>
      </c>
      <c r="I149" s="3" t="s">
        <v>3</v>
      </c>
      <c r="J149" s="3"/>
      <c r="K149" s="3">
        <v>23.899963</v>
      </c>
      <c r="L149" s="3">
        <v>1992</v>
      </c>
      <c r="M149" s="3">
        <v>3.7574768000000001E-2</v>
      </c>
      <c r="N149" s="3" t="s">
        <v>3</v>
      </c>
    </row>
    <row r="150" spans="1:14" x14ac:dyDescent="0.3">
      <c r="A150" s="3">
        <v>26.793655000000001</v>
      </c>
      <c r="B150" s="3">
        <v>1993</v>
      </c>
      <c r="C150" s="3">
        <v>-0.19332504</v>
      </c>
      <c r="D150" s="3" t="s">
        <v>3</v>
      </c>
      <c r="E150" s="3"/>
      <c r="F150" s="3">
        <v>30.030609999999999</v>
      </c>
      <c r="G150" s="3">
        <v>1993</v>
      </c>
      <c r="H150" s="3">
        <v>-8.0972669999999997E-2</v>
      </c>
      <c r="I150" s="3" t="s">
        <v>3</v>
      </c>
      <c r="J150" s="3"/>
      <c r="K150" s="3">
        <v>23.556667000000001</v>
      </c>
      <c r="L150" s="3">
        <v>1993</v>
      </c>
      <c r="M150" s="3">
        <v>-0.30572127999999998</v>
      </c>
      <c r="N150" s="3" t="s">
        <v>3</v>
      </c>
    </row>
    <row r="151" spans="1:14" x14ac:dyDescent="0.3">
      <c r="A151" s="3">
        <v>26.575655000000001</v>
      </c>
      <c r="B151" s="3">
        <v>1994</v>
      </c>
      <c r="C151" s="3">
        <v>-0.41132544999999998</v>
      </c>
      <c r="D151" s="3" t="s">
        <v>3</v>
      </c>
      <c r="E151" s="3"/>
      <c r="F151" s="3">
        <v>29.762720000000002</v>
      </c>
      <c r="G151" s="3">
        <v>1994</v>
      </c>
      <c r="H151" s="3">
        <v>-0.3488617</v>
      </c>
      <c r="I151" s="3" t="s">
        <v>3</v>
      </c>
      <c r="J151" s="3"/>
      <c r="K151" s="3">
        <v>23.388573000000001</v>
      </c>
      <c r="L151" s="3">
        <v>1994</v>
      </c>
      <c r="M151" s="3">
        <v>-0.47381592</v>
      </c>
      <c r="N151" s="3" t="s">
        <v>3</v>
      </c>
    </row>
    <row r="152" spans="1:14" x14ac:dyDescent="0.3">
      <c r="A152" s="3">
        <v>26.914507</v>
      </c>
      <c r="B152" s="3">
        <v>1995</v>
      </c>
      <c r="C152" s="3">
        <v>-7.2473525999999996E-2</v>
      </c>
      <c r="D152" s="3" t="s">
        <v>3</v>
      </c>
      <c r="E152" s="3"/>
      <c r="F152" s="3">
        <v>30.015281999999999</v>
      </c>
      <c r="G152" s="3">
        <v>1995</v>
      </c>
      <c r="H152" s="3">
        <v>-9.6300125E-2</v>
      </c>
      <c r="I152" s="3" t="s">
        <v>3</v>
      </c>
      <c r="J152" s="3"/>
      <c r="K152" s="3">
        <v>23.813759000000001</v>
      </c>
      <c r="L152" s="3">
        <v>1995</v>
      </c>
      <c r="M152" s="3">
        <v>-4.8629760000000001E-2</v>
      </c>
      <c r="N152" s="3" t="s">
        <v>3</v>
      </c>
    </row>
    <row r="153" spans="1:14" x14ac:dyDescent="0.3">
      <c r="A153" s="3">
        <v>26.531161999999998</v>
      </c>
      <c r="B153" s="3">
        <v>1996</v>
      </c>
      <c r="C153" s="3">
        <v>-0.45581818000000002</v>
      </c>
      <c r="D153" s="3" t="s">
        <v>3</v>
      </c>
      <c r="E153" s="3"/>
      <c r="F153" s="3">
        <v>29.601181</v>
      </c>
      <c r="G153" s="3">
        <v>1996</v>
      </c>
      <c r="H153" s="3">
        <v>-0.51040079999999999</v>
      </c>
      <c r="I153" s="3" t="s">
        <v>3</v>
      </c>
      <c r="J153" s="3"/>
      <c r="K153" s="3">
        <v>23.46114</v>
      </c>
      <c r="L153" s="3">
        <v>1996</v>
      </c>
      <c r="M153" s="3">
        <v>-0.40124893</v>
      </c>
      <c r="N153" s="3" t="s">
        <v>3</v>
      </c>
    </row>
    <row r="154" spans="1:14" x14ac:dyDescent="0.3">
      <c r="A154" s="3">
        <v>26.729921000000001</v>
      </c>
      <c r="B154" s="3">
        <v>1997</v>
      </c>
      <c r="C154" s="3">
        <v>-0.25705909999999998</v>
      </c>
      <c r="D154" s="3" t="s">
        <v>3</v>
      </c>
      <c r="E154" s="3"/>
      <c r="F154" s="3">
        <v>30.187227</v>
      </c>
      <c r="G154" s="3">
        <v>1997</v>
      </c>
      <c r="H154" s="3">
        <v>7.5645450000000003E-2</v>
      </c>
      <c r="I154" s="3" t="s">
        <v>3</v>
      </c>
      <c r="J154" s="3"/>
      <c r="K154" s="3">
        <v>23.272656999999999</v>
      </c>
      <c r="L154" s="3">
        <v>1997</v>
      </c>
      <c r="M154" s="3">
        <v>-0.58973120000000001</v>
      </c>
      <c r="N154" s="3" t="s">
        <v>3</v>
      </c>
    </row>
    <row r="155" spans="1:14" x14ac:dyDescent="0.3">
      <c r="A155" s="3">
        <v>27.61336</v>
      </c>
      <c r="B155" s="3">
        <v>1998</v>
      </c>
      <c r="C155" s="3">
        <v>0.62637900000000002</v>
      </c>
      <c r="D155" s="3" t="s">
        <v>3</v>
      </c>
      <c r="E155" s="3"/>
      <c r="F155" s="3">
        <v>30.962527999999999</v>
      </c>
      <c r="G155" s="3">
        <v>1998</v>
      </c>
      <c r="H155" s="3">
        <v>0.85094639999999999</v>
      </c>
      <c r="I155" s="3" t="s">
        <v>3</v>
      </c>
      <c r="J155" s="3"/>
      <c r="K155" s="3">
        <v>24.264164000000001</v>
      </c>
      <c r="L155" s="3">
        <v>1998</v>
      </c>
      <c r="M155" s="3">
        <v>0.40177536000000003</v>
      </c>
      <c r="N155" s="3" t="s">
        <v>3</v>
      </c>
    </row>
    <row r="156" spans="1:14" x14ac:dyDescent="0.3">
      <c r="A156" s="3">
        <v>26.463035999999999</v>
      </c>
      <c r="B156" s="3">
        <v>1999</v>
      </c>
      <c r="C156" s="3">
        <v>-0.52394485000000002</v>
      </c>
      <c r="D156" s="3" t="s">
        <v>3</v>
      </c>
      <c r="E156" s="3"/>
      <c r="F156" s="3">
        <v>29.426302</v>
      </c>
      <c r="G156" s="3">
        <v>1999</v>
      </c>
      <c r="H156" s="3">
        <v>-0.68527985000000002</v>
      </c>
      <c r="I156" s="3" t="s">
        <v>3</v>
      </c>
      <c r="J156" s="3"/>
      <c r="K156" s="3">
        <v>23.499766999999999</v>
      </c>
      <c r="L156" s="3">
        <v>1999</v>
      </c>
      <c r="M156" s="3">
        <v>-0.36262129999999998</v>
      </c>
      <c r="N156" s="3" t="s">
        <v>3</v>
      </c>
    </row>
    <row r="157" spans="1:14" x14ac:dyDescent="0.3">
      <c r="A157" s="3">
        <v>26.505832999999999</v>
      </c>
      <c r="B157" s="3">
        <v>2000</v>
      </c>
      <c r="C157" s="3">
        <v>-0.48114776999999997</v>
      </c>
      <c r="D157" s="3" t="s">
        <v>3</v>
      </c>
      <c r="E157" s="3"/>
      <c r="F157" s="3">
        <v>29.696950000000001</v>
      </c>
      <c r="G157" s="3">
        <v>2000</v>
      </c>
      <c r="H157" s="3">
        <v>-0.41463090000000002</v>
      </c>
      <c r="I157" s="3" t="s">
        <v>3</v>
      </c>
      <c r="J157" s="3"/>
      <c r="K157" s="3">
        <v>23.314730000000001</v>
      </c>
      <c r="L157" s="3">
        <v>2000</v>
      </c>
      <c r="M157" s="3">
        <v>-0.54765889999999995</v>
      </c>
      <c r="N157" s="3" t="s">
        <v>3</v>
      </c>
    </row>
    <row r="158" spans="1:14" x14ac:dyDescent="0.3">
      <c r="A158" s="3">
        <v>26.632164</v>
      </c>
      <c r="B158" s="3">
        <v>2001</v>
      </c>
      <c r="C158" s="3">
        <v>-0.35481644000000001</v>
      </c>
      <c r="D158" s="3" t="s">
        <v>3</v>
      </c>
      <c r="E158" s="3"/>
      <c r="F158" s="3">
        <v>29.804663000000001</v>
      </c>
      <c r="G158" s="3">
        <v>2001</v>
      </c>
      <c r="H158" s="3">
        <v>-0.3069191</v>
      </c>
      <c r="I158" s="3" t="s">
        <v>3</v>
      </c>
      <c r="J158" s="3"/>
      <c r="K158" s="3">
        <v>23.459697999999999</v>
      </c>
      <c r="L158" s="3">
        <v>2001</v>
      </c>
      <c r="M158" s="3">
        <v>-0.40269090000000002</v>
      </c>
      <c r="N158" s="3" t="s">
        <v>3</v>
      </c>
    </row>
    <row r="159" spans="1:14" x14ac:dyDescent="0.3">
      <c r="A159" s="3">
        <v>26.643384999999999</v>
      </c>
      <c r="B159" s="3">
        <v>2002</v>
      </c>
      <c r="C159" s="3">
        <v>-0.3435955</v>
      </c>
      <c r="D159" s="3" t="s">
        <v>3</v>
      </c>
      <c r="E159" s="3"/>
      <c r="F159" s="3">
        <v>29.862417000000001</v>
      </c>
      <c r="G159" s="3">
        <v>2002</v>
      </c>
      <c r="H159" s="3">
        <v>-0.24916458</v>
      </c>
      <c r="I159" s="3" t="s">
        <v>3</v>
      </c>
      <c r="J159" s="3"/>
      <c r="K159" s="3">
        <v>23.424372000000002</v>
      </c>
      <c r="L159" s="3">
        <v>2002</v>
      </c>
      <c r="M159" s="3">
        <v>-0.43801689999999999</v>
      </c>
      <c r="N159" s="3" t="s">
        <v>3</v>
      </c>
    </row>
    <row r="160" spans="1:14" x14ac:dyDescent="0.3">
      <c r="A160" s="3">
        <v>27.026357999999998</v>
      </c>
      <c r="B160" s="3">
        <v>2003</v>
      </c>
      <c r="C160" s="3">
        <v>3.9377213000000001E-2</v>
      </c>
      <c r="D160" s="3" t="s">
        <v>3</v>
      </c>
      <c r="E160" s="3"/>
      <c r="F160" s="3">
        <v>30.355774</v>
      </c>
      <c r="G160" s="3">
        <v>2003</v>
      </c>
      <c r="H160" s="3">
        <v>0.24419212000000001</v>
      </c>
      <c r="I160" s="3" t="s">
        <v>3</v>
      </c>
      <c r="J160" s="3"/>
      <c r="K160" s="3">
        <v>23.696982999999999</v>
      </c>
      <c r="L160" s="3">
        <v>2003</v>
      </c>
      <c r="M160" s="3">
        <v>-0.16540526999999999</v>
      </c>
      <c r="N160" s="3" t="s">
        <v>3</v>
      </c>
    </row>
    <row r="161" spans="1:14" x14ac:dyDescent="0.3">
      <c r="A161" s="3">
        <v>27.293942999999999</v>
      </c>
      <c r="B161" s="3">
        <v>2004</v>
      </c>
      <c r="C161" s="3">
        <v>0.30696297</v>
      </c>
      <c r="D161" s="3" t="s">
        <v>3</v>
      </c>
      <c r="E161" s="3"/>
      <c r="F161" s="3">
        <v>30.174579999999999</v>
      </c>
      <c r="G161" s="3">
        <v>2004</v>
      </c>
      <c r="H161" s="3">
        <v>6.2997819999999996E-2</v>
      </c>
      <c r="I161" s="3" t="s">
        <v>3</v>
      </c>
      <c r="J161" s="3"/>
      <c r="K161" s="3">
        <v>24.413281999999999</v>
      </c>
      <c r="L161" s="3">
        <v>2004</v>
      </c>
      <c r="M161" s="3">
        <v>0.55089379999999999</v>
      </c>
      <c r="N161" s="3" t="s">
        <v>3</v>
      </c>
    </row>
    <row r="162" spans="1:14" x14ac:dyDescent="0.3">
      <c r="A162" s="3">
        <v>27.301850999999999</v>
      </c>
      <c r="B162" s="3">
        <v>2005</v>
      </c>
      <c r="C162" s="3">
        <v>0.31487082999999999</v>
      </c>
      <c r="D162" s="3" t="s">
        <v>3</v>
      </c>
      <c r="E162" s="3"/>
      <c r="F162" s="3">
        <v>30.353923999999999</v>
      </c>
      <c r="G162" s="3">
        <v>2005</v>
      </c>
      <c r="H162" s="3">
        <v>0.242342</v>
      </c>
      <c r="I162" s="3" t="s">
        <v>3</v>
      </c>
      <c r="J162" s="3"/>
      <c r="K162" s="3">
        <v>24.249811000000001</v>
      </c>
      <c r="L162" s="3">
        <v>2005</v>
      </c>
      <c r="M162" s="3">
        <v>0.38742256000000003</v>
      </c>
      <c r="N162" s="3" t="s">
        <v>3</v>
      </c>
    </row>
    <row r="163" spans="1:14" x14ac:dyDescent="0.3">
      <c r="A163" s="3">
        <v>26.727672999999999</v>
      </c>
      <c r="B163" s="3">
        <v>2006</v>
      </c>
      <c r="C163" s="3">
        <v>-0.25930786</v>
      </c>
      <c r="D163" s="3" t="s">
        <v>3</v>
      </c>
      <c r="E163" s="3"/>
      <c r="F163" s="3">
        <v>29.788519000000001</v>
      </c>
      <c r="G163" s="3">
        <v>2006</v>
      </c>
      <c r="H163" s="3">
        <v>-0.32306289999999999</v>
      </c>
      <c r="I163" s="3" t="s">
        <v>3</v>
      </c>
      <c r="J163" s="3"/>
      <c r="K163" s="3">
        <v>23.666837999999998</v>
      </c>
      <c r="L163" s="3">
        <v>2006</v>
      </c>
      <c r="M163" s="3">
        <v>-0.19555091999999999</v>
      </c>
      <c r="N163" s="3" t="s">
        <v>3</v>
      </c>
    </row>
    <row r="164" spans="1:14" x14ac:dyDescent="0.3">
      <c r="A164" s="3">
        <v>27.015339000000001</v>
      </c>
      <c r="B164" s="3">
        <v>2007</v>
      </c>
      <c r="C164" s="3">
        <v>2.8358459999999999E-2</v>
      </c>
      <c r="D164" s="3" t="s">
        <v>3</v>
      </c>
      <c r="E164" s="3"/>
      <c r="F164" s="3">
        <v>29.997067999999999</v>
      </c>
      <c r="G164" s="3">
        <v>2007</v>
      </c>
      <c r="H164" s="3">
        <v>-0.1145134</v>
      </c>
      <c r="I164" s="3" t="s">
        <v>3</v>
      </c>
      <c r="J164" s="3"/>
      <c r="K164" s="3">
        <v>24.033629999999999</v>
      </c>
      <c r="L164" s="3">
        <v>2007</v>
      </c>
      <c r="M164" s="3">
        <v>0.17124175999999999</v>
      </c>
      <c r="N164" s="3" t="s">
        <v>3</v>
      </c>
    </row>
    <row r="165" spans="1:14" x14ac:dyDescent="0.3">
      <c r="A165" s="3">
        <v>26.685632999999999</v>
      </c>
      <c r="B165" s="3">
        <v>2008</v>
      </c>
      <c r="C165" s="3">
        <v>-0.30134772999999998</v>
      </c>
      <c r="D165" s="3" t="s">
        <v>3</v>
      </c>
      <c r="E165" s="3"/>
      <c r="F165" s="3">
        <v>29.938832999999999</v>
      </c>
      <c r="G165" s="3">
        <v>2008</v>
      </c>
      <c r="H165" s="3">
        <v>-0.17274856999999999</v>
      </c>
      <c r="I165" s="3" t="s">
        <v>3</v>
      </c>
      <c r="J165" s="3"/>
      <c r="K165" s="3">
        <v>23.432447</v>
      </c>
      <c r="L165" s="3">
        <v>2008</v>
      </c>
      <c r="M165" s="3">
        <v>-0.42994117999999998</v>
      </c>
      <c r="N165" s="3" t="s">
        <v>3</v>
      </c>
    </row>
    <row r="166" spans="1:14" x14ac:dyDescent="0.3">
      <c r="A166" s="3">
        <v>26.861232999999999</v>
      </c>
      <c r="B166" s="3">
        <v>2009</v>
      </c>
      <c r="C166" s="3">
        <v>-0.12574768</v>
      </c>
      <c r="D166" s="3" t="s">
        <v>3</v>
      </c>
      <c r="E166" s="3"/>
      <c r="F166" s="3">
        <v>30.082455</v>
      </c>
      <c r="G166" s="3">
        <v>2009</v>
      </c>
      <c r="H166" s="3">
        <v>-2.9127120999999999E-2</v>
      </c>
      <c r="I166" s="3" t="s">
        <v>3</v>
      </c>
      <c r="J166" s="3"/>
      <c r="K166" s="3">
        <v>23.640003</v>
      </c>
      <c r="L166" s="3">
        <v>2009</v>
      </c>
      <c r="M166" s="3">
        <v>-0.22238540000000001</v>
      </c>
      <c r="N166" s="3" t="s">
        <v>3</v>
      </c>
    </row>
    <row r="167" spans="1:14" x14ac:dyDescent="0.3">
      <c r="A167" s="3">
        <v>27.641103999999999</v>
      </c>
      <c r="B167" s="3">
        <v>2010</v>
      </c>
      <c r="C167" s="3">
        <v>0.65412329999999996</v>
      </c>
      <c r="D167" s="3" t="s">
        <v>3</v>
      </c>
      <c r="E167" s="3"/>
      <c r="F167" s="3">
        <v>30.632995999999999</v>
      </c>
      <c r="G167" s="3">
        <v>2010</v>
      </c>
      <c r="H167" s="3">
        <v>0.52141380000000004</v>
      </c>
      <c r="I167" s="3" t="s">
        <v>3</v>
      </c>
      <c r="J167" s="3"/>
      <c r="K167" s="3">
        <v>24.649214000000001</v>
      </c>
      <c r="L167" s="3">
        <v>2010</v>
      </c>
      <c r="M167" s="3">
        <v>0.7868252</v>
      </c>
      <c r="N167" s="3" t="s">
        <v>3</v>
      </c>
    </row>
    <row r="168" spans="1:14" x14ac:dyDescent="0.3">
      <c r="A168" s="3">
        <v>26.628585999999999</v>
      </c>
      <c r="B168" s="3">
        <v>2011</v>
      </c>
      <c r="C168" s="3">
        <v>-0.35839462</v>
      </c>
      <c r="D168" s="3" t="s">
        <v>3</v>
      </c>
      <c r="E168" s="3"/>
      <c r="F168" s="3">
        <v>29.702342999999999</v>
      </c>
      <c r="G168" s="3">
        <v>2011</v>
      </c>
      <c r="H168" s="3">
        <v>-0.40923882</v>
      </c>
      <c r="I168" s="3" t="s">
        <v>3</v>
      </c>
      <c r="J168" s="3"/>
      <c r="K168" s="3">
        <v>23.554843999999999</v>
      </c>
      <c r="L168" s="3">
        <v>2011</v>
      </c>
      <c r="M168" s="3">
        <v>-0.3075447</v>
      </c>
      <c r="N168" s="3" t="s">
        <v>3</v>
      </c>
    </row>
    <row r="169" spans="1:14" x14ac:dyDescent="0.3">
      <c r="A169" s="3">
        <v>26.818636000000001</v>
      </c>
      <c r="B169" s="3">
        <v>2012</v>
      </c>
      <c r="C169" s="3">
        <v>-0.16834450000000001</v>
      </c>
      <c r="D169" s="3" t="s">
        <v>3</v>
      </c>
      <c r="E169" s="3"/>
      <c r="F169" s="3">
        <v>29.943007999999999</v>
      </c>
      <c r="G169" s="3">
        <v>2012</v>
      </c>
      <c r="H169" s="3">
        <v>-0.16857337999999999</v>
      </c>
      <c r="I169" s="3" t="s">
        <v>3</v>
      </c>
      <c r="J169" s="3"/>
      <c r="K169" s="3">
        <v>23.694230999999998</v>
      </c>
      <c r="L169" s="3">
        <v>2012</v>
      </c>
      <c r="M169" s="3">
        <v>-0.16815758</v>
      </c>
      <c r="N169" s="3" t="s">
        <v>3</v>
      </c>
    </row>
    <row r="170" spans="1:14" x14ac:dyDescent="0.3">
      <c r="A170" s="3">
        <v>27.244888</v>
      </c>
      <c r="B170" s="3">
        <v>2013</v>
      </c>
      <c r="C170" s="3">
        <v>0.25790786999999998</v>
      </c>
      <c r="D170" s="3" t="s">
        <v>3</v>
      </c>
      <c r="E170" s="3"/>
      <c r="F170" s="3">
        <v>30.264113999999999</v>
      </c>
      <c r="G170" s="3">
        <v>2013</v>
      </c>
      <c r="H170" s="3">
        <v>0.15253258</v>
      </c>
      <c r="I170" s="3" t="s">
        <v>3</v>
      </c>
      <c r="J170" s="3"/>
      <c r="K170" s="3">
        <v>24.225663999999998</v>
      </c>
      <c r="L170" s="3">
        <v>2013</v>
      </c>
      <c r="M170" s="3">
        <v>0.36327553000000001</v>
      </c>
      <c r="N170" s="3" t="s">
        <v>3</v>
      </c>
    </row>
    <row r="171" spans="1:14" x14ac:dyDescent="0.3">
      <c r="A171" s="3">
        <v>27.352153999999999</v>
      </c>
      <c r="B171" s="3">
        <v>2014</v>
      </c>
      <c r="C171" s="3">
        <v>0.36517334000000001</v>
      </c>
      <c r="D171" s="3" t="s">
        <v>3</v>
      </c>
      <c r="E171" s="3"/>
      <c r="F171" s="3">
        <v>30.305078999999999</v>
      </c>
      <c r="G171" s="3">
        <v>2014</v>
      </c>
      <c r="H171" s="3">
        <v>0.19349669999999999</v>
      </c>
      <c r="I171" s="3" t="s">
        <v>3</v>
      </c>
      <c r="J171" s="3"/>
      <c r="K171" s="3">
        <v>24.399266999999998</v>
      </c>
      <c r="L171" s="3">
        <v>2014</v>
      </c>
      <c r="M171" s="3">
        <v>0.53687859999999998</v>
      </c>
      <c r="N171" s="3" t="s">
        <v>3</v>
      </c>
    </row>
    <row r="172" spans="1:14" x14ac:dyDescent="0.3">
      <c r="A172" s="3">
        <v>27.397220000000001</v>
      </c>
      <c r="B172" s="3">
        <v>2015</v>
      </c>
      <c r="C172" s="3">
        <v>0.41024017000000002</v>
      </c>
      <c r="D172" s="3" t="s">
        <v>3</v>
      </c>
      <c r="E172" s="3"/>
      <c r="F172" s="3">
        <v>30.423950000000001</v>
      </c>
      <c r="G172" s="3">
        <v>2015</v>
      </c>
      <c r="H172" s="3">
        <v>0.31236839999999999</v>
      </c>
      <c r="I172" s="3" t="s">
        <v>3</v>
      </c>
      <c r="J172" s="3"/>
      <c r="K172" s="3">
        <v>24.370441</v>
      </c>
      <c r="L172" s="3">
        <v>2015</v>
      </c>
      <c r="M172" s="3">
        <v>0.50805279999999997</v>
      </c>
      <c r="N172" s="3" t="s">
        <v>3</v>
      </c>
    </row>
    <row r="173" spans="1:14" x14ac:dyDescent="0.3">
      <c r="A173" s="3">
        <v>27.595728000000001</v>
      </c>
      <c r="B173" s="3">
        <v>2016</v>
      </c>
      <c r="C173" s="3">
        <v>0.6087475</v>
      </c>
      <c r="D173" s="3" t="s">
        <v>3</v>
      </c>
      <c r="E173" s="3"/>
      <c r="F173" s="3">
        <v>30.762028000000001</v>
      </c>
      <c r="G173" s="3">
        <v>2016</v>
      </c>
      <c r="H173" s="3">
        <v>0.65044594</v>
      </c>
      <c r="I173" s="3" t="s">
        <v>3</v>
      </c>
      <c r="J173" s="3"/>
      <c r="K173" s="3">
        <v>24.429413</v>
      </c>
      <c r="L173" s="3">
        <v>2016</v>
      </c>
      <c r="M173" s="3">
        <v>0.56702423000000002</v>
      </c>
      <c r="N173" s="3" t="s">
        <v>3</v>
      </c>
    </row>
    <row r="174" spans="1:14" x14ac:dyDescent="0.3">
      <c r="A174" s="3">
        <v>27.310604000000001</v>
      </c>
      <c r="B174" s="3">
        <v>2017</v>
      </c>
      <c r="C174" s="3">
        <v>0.32362365999999998</v>
      </c>
      <c r="D174" s="3" t="s">
        <v>3</v>
      </c>
      <c r="E174" s="3"/>
      <c r="F174" s="3">
        <v>30.488316999999999</v>
      </c>
      <c r="G174" s="3">
        <v>2017</v>
      </c>
      <c r="H174" s="3">
        <v>0.37673570000000001</v>
      </c>
      <c r="I174" s="3" t="s">
        <v>3</v>
      </c>
      <c r="J174" s="3"/>
      <c r="K174" s="3">
        <v>24.132923000000002</v>
      </c>
      <c r="L174" s="3">
        <v>2017</v>
      </c>
      <c r="M174" s="3">
        <v>0.27053452</v>
      </c>
      <c r="N174" s="3" t="s">
        <v>3</v>
      </c>
    </row>
    <row r="175" spans="1:14" x14ac:dyDescent="0.3">
      <c r="A175" s="3">
        <v>26.810106000000001</v>
      </c>
      <c r="B175" s="3">
        <v>2018</v>
      </c>
      <c r="C175" s="3">
        <v>-0.17687416</v>
      </c>
      <c r="D175" s="3" t="s">
        <v>3</v>
      </c>
      <c r="E175" s="3"/>
      <c r="F175" s="3">
        <v>30.008984000000002</v>
      </c>
      <c r="G175" s="3">
        <v>2018</v>
      </c>
      <c r="H175" s="3">
        <v>-0.10259819000000001</v>
      </c>
      <c r="I175" s="3" t="s">
        <v>3</v>
      </c>
      <c r="J175" s="3"/>
      <c r="K175" s="3">
        <v>23.611252</v>
      </c>
      <c r="L175" s="3">
        <v>2018</v>
      </c>
      <c r="M175" s="3">
        <v>-0.25113678</v>
      </c>
      <c r="N175" s="3" t="s">
        <v>3</v>
      </c>
    </row>
    <row r="176" spans="1:14" x14ac:dyDescent="0.3">
      <c r="A176" s="3">
        <v>27.321175</v>
      </c>
      <c r="B176" s="3">
        <v>2019</v>
      </c>
      <c r="C176" s="3">
        <v>0.33419418000000001</v>
      </c>
      <c r="D176" s="3" t="s">
        <v>3</v>
      </c>
      <c r="E176" s="3"/>
      <c r="F176" s="3">
        <v>30.437393</v>
      </c>
      <c r="G176" s="3">
        <v>2019</v>
      </c>
      <c r="H176" s="3">
        <v>0.32581139999999997</v>
      </c>
      <c r="I176" s="3" t="s">
        <v>3</v>
      </c>
      <c r="J176" s="3"/>
      <c r="K176" s="3">
        <v>24.204954000000001</v>
      </c>
      <c r="L176" s="3">
        <v>2019</v>
      </c>
      <c r="M176" s="3">
        <v>0.34256554</v>
      </c>
      <c r="N176" s="3" t="s">
        <v>3</v>
      </c>
    </row>
    <row r="177" spans="1:14" x14ac:dyDescent="0.3">
      <c r="A177" s="3">
        <v>27.366634000000001</v>
      </c>
      <c r="B177" s="3">
        <v>2020</v>
      </c>
      <c r="C177" s="3">
        <v>0.37965392999999997</v>
      </c>
      <c r="D177" s="3" t="s">
        <v>3</v>
      </c>
      <c r="E177" s="3"/>
      <c r="F177" s="3">
        <v>30.282314</v>
      </c>
      <c r="G177" s="3">
        <v>2020</v>
      </c>
      <c r="H177" s="3">
        <v>0.17073250000000001</v>
      </c>
      <c r="I177" s="3" t="s">
        <v>3</v>
      </c>
      <c r="J177" s="3"/>
      <c r="K177" s="3">
        <v>24.450945000000001</v>
      </c>
      <c r="L177" s="3">
        <v>2020</v>
      </c>
      <c r="M177" s="3">
        <v>0.58855630000000003</v>
      </c>
      <c r="N177" s="3" t="s">
        <v>3</v>
      </c>
    </row>
    <row r="178" spans="1:14" x14ac:dyDescent="0.3">
      <c r="A178" s="3">
        <v>26.845562000000001</v>
      </c>
      <c r="B178" s="3">
        <v>2021</v>
      </c>
      <c r="C178" s="3">
        <v>-0.14141846</v>
      </c>
      <c r="D178" s="3" t="s">
        <v>3</v>
      </c>
      <c r="E178" s="3"/>
      <c r="F178" s="3">
        <v>29.653137000000001</v>
      </c>
      <c r="G178" s="3">
        <v>2021</v>
      </c>
      <c r="H178" s="3">
        <v>-0.45844459999999998</v>
      </c>
      <c r="I178" s="3" t="s">
        <v>3</v>
      </c>
      <c r="J178" s="3"/>
      <c r="K178" s="3">
        <v>24.037952000000001</v>
      </c>
      <c r="L178" s="3">
        <v>2021</v>
      </c>
      <c r="M178" s="3">
        <v>0.17556380999999999</v>
      </c>
      <c r="N178" s="3" t="s">
        <v>3</v>
      </c>
    </row>
    <row r="179" spans="1:14" x14ac:dyDescent="0.3">
      <c r="A179" s="3">
        <v>26.798876</v>
      </c>
      <c r="B179" s="3">
        <v>2022</v>
      </c>
      <c r="C179" s="3">
        <v>-0.18810462999999999</v>
      </c>
      <c r="D179" s="3" t="s">
        <v>3</v>
      </c>
      <c r="E179" s="3"/>
      <c r="F179" s="3">
        <v>29.719887</v>
      </c>
      <c r="G179" s="3">
        <v>2022</v>
      </c>
      <c r="H179" s="3">
        <v>-0.39169502</v>
      </c>
      <c r="I179" s="3" t="s">
        <v>3</v>
      </c>
      <c r="J179" s="3"/>
      <c r="K179" s="3">
        <v>23.877870000000001</v>
      </c>
      <c r="L179" s="3">
        <v>2022</v>
      </c>
      <c r="M179" s="3">
        <v>1.5481949E-2</v>
      </c>
      <c r="N179" s="3" t="s">
        <v>3</v>
      </c>
    </row>
    <row r="180" spans="1:14" x14ac:dyDescent="0.3">
      <c r="A180" s="3">
        <v>26.95674</v>
      </c>
      <c r="B180" s="3">
        <v>2023</v>
      </c>
      <c r="C180" s="3">
        <v>-3.0241013000000001E-2</v>
      </c>
      <c r="D180" s="3" t="s">
        <v>3</v>
      </c>
      <c r="E180" s="3"/>
      <c r="F180" s="3">
        <v>30.2773</v>
      </c>
      <c r="G180" s="3">
        <v>2023</v>
      </c>
      <c r="H180" s="3">
        <v>0.16571807999999999</v>
      </c>
      <c r="I180" s="3" t="s">
        <v>3</v>
      </c>
      <c r="J180" s="3"/>
      <c r="K180" s="3">
        <v>23.636202000000001</v>
      </c>
      <c r="L180" s="3">
        <v>2023</v>
      </c>
      <c r="M180" s="3">
        <v>-0.22618674999999999</v>
      </c>
      <c r="N180" s="3" t="s">
        <v>3</v>
      </c>
    </row>
    <row r="181" spans="1:14" x14ac:dyDescent="0.3">
      <c r="A181" s="3">
        <v>27.645025</v>
      </c>
      <c r="B181" s="3">
        <v>2024</v>
      </c>
      <c r="C181" s="3">
        <v>0.65804479999999999</v>
      </c>
      <c r="D181" s="3" t="s">
        <v>3</v>
      </c>
      <c r="E181" s="3"/>
      <c r="F181" s="3">
        <v>30.681404000000001</v>
      </c>
      <c r="G181" s="3">
        <v>2024</v>
      </c>
      <c r="H181" s="3">
        <v>0.5698223</v>
      </c>
      <c r="I181" s="3" t="s">
        <v>3</v>
      </c>
      <c r="J181" s="3"/>
      <c r="K181" s="3">
        <v>24.608606000000002</v>
      </c>
      <c r="L181" s="3">
        <v>2024</v>
      </c>
      <c r="M181" s="3">
        <v>0.74621769999999998</v>
      </c>
      <c r="N181" s="3" t="s">
        <v>3</v>
      </c>
    </row>
    <row r="182" spans="1:14" x14ac:dyDescent="0.3">
      <c r="A182" s="3">
        <v>27.07423</v>
      </c>
      <c r="B182" s="3">
        <v>2025</v>
      </c>
      <c r="C182" s="3">
        <v>8.7249755999999998E-2</v>
      </c>
      <c r="D182" s="3" t="s">
        <v>3</v>
      </c>
      <c r="E182" s="3"/>
      <c r="F182" s="3">
        <v>29.663115999999999</v>
      </c>
      <c r="G182" s="3">
        <v>2025</v>
      </c>
      <c r="H182" s="3">
        <v>-0.44846534999999998</v>
      </c>
      <c r="I182" s="3" t="s">
        <v>3</v>
      </c>
      <c r="J182" s="3"/>
      <c r="K182" s="3">
        <v>24.485340000000001</v>
      </c>
      <c r="L182" s="3">
        <v>2025</v>
      </c>
      <c r="M182" s="3">
        <v>0.62295149999999999</v>
      </c>
      <c r="N182" s="3" t="s">
        <v>3</v>
      </c>
    </row>
    <row r="183" spans="1:14" x14ac:dyDescent="0.3">
      <c r="A183" s="3">
        <v>26.124483000000001</v>
      </c>
      <c r="B183" s="3">
        <v>1981</v>
      </c>
      <c r="C183" s="3">
        <v>-0.49560927999999999</v>
      </c>
      <c r="D183" s="3" t="s">
        <v>17</v>
      </c>
      <c r="E183" s="3"/>
      <c r="F183" s="3">
        <v>28.726251999999999</v>
      </c>
      <c r="G183" s="3">
        <v>1981</v>
      </c>
      <c r="H183" s="3">
        <v>-0.62983703999999996</v>
      </c>
      <c r="I183" s="3" t="s">
        <v>17</v>
      </c>
      <c r="J183" s="3"/>
      <c r="K183" s="3">
        <v>23.522722000000002</v>
      </c>
      <c r="L183" s="3">
        <v>1981</v>
      </c>
      <c r="M183" s="3">
        <v>-0.36137962000000001</v>
      </c>
      <c r="N183" s="3" t="s">
        <v>17</v>
      </c>
    </row>
    <row r="184" spans="1:14" x14ac:dyDescent="0.3">
      <c r="A184" s="3">
        <v>26.102612000000001</v>
      </c>
      <c r="B184" s="3">
        <v>1982</v>
      </c>
      <c r="C184" s="3">
        <v>-0.51748084999999999</v>
      </c>
      <c r="D184" s="3" t="s">
        <v>17</v>
      </c>
      <c r="E184" s="3"/>
      <c r="F184" s="3">
        <v>28.787967999999999</v>
      </c>
      <c r="G184" s="3">
        <v>1982</v>
      </c>
      <c r="H184" s="3">
        <v>-0.56812096000000001</v>
      </c>
      <c r="I184" s="3" t="s">
        <v>17</v>
      </c>
      <c r="J184" s="3"/>
      <c r="K184" s="3">
        <v>23.417204000000002</v>
      </c>
      <c r="L184" s="3">
        <v>1982</v>
      </c>
      <c r="M184" s="3">
        <v>-0.46689796</v>
      </c>
      <c r="N184" s="3" t="s">
        <v>17</v>
      </c>
    </row>
    <row r="185" spans="1:14" x14ac:dyDescent="0.3">
      <c r="A185" s="3">
        <v>26.784631999999998</v>
      </c>
      <c r="B185" s="3">
        <v>1983</v>
      </c>
      <c r="C185" s="3">
        <v>0.16453934000000001</v>
      </c>
      <c r="D185" s="3" t="s">
        <v>17</v>
      </c>
      <c r="E185" s="3"/>
      <c r="F185" s="3">
        <v>29.449665</v>
      </c>
      <c r="G185" s="3">
        <v>1983</v>
      </c>
      <c r="H185" s="3">
        <v>9.3576430000000002E-2</v>
      </c>
      <c r="I185" s="3" t="s">
        <v>17</v>
      </c>
      <c r="J185" s="3"/>
      <c r="K185" s="3">
        <v>24.119599999999998</v>
      </c>
      <c r="L185" s="3">
        <v>1983</v>
      </c>
      <c r="M185" s="3">
        <v>0.23549843000000001</v>
      </c>
      <c r="N185" s="3" t="s">
        <v>17</v>
      </c>
    </row>
    <row r="186" spans="1:14" x14ac:dyDescent="0.3">
      <c r="A186" s="3">
        <v>25.716329999999999</v>
      </c>
      <c r="B186" s="3">
        <v>1984</v>
      </c>
      <c r="C186" s="3">
        <v>-0.90376279999999998</v>
      </c>
      <c r="D186" s="3" t="s">
        <v>17</v>
      </c>
      <c r="E186" s="3"/>
      <c r="F186" s="3">
        <v>28.499554</v>
      </c>
      <c r="G186" s="3">
        <v>1984</v>
      </c>
      <c r="H186" s="3">
        <v>-0.85653495999999996</v>
      </c>
      <c r="I186" s="3" t="s">
        <v>17</v>
      </c>
      <c r="J186" s="3"/>
      <c r="K186" s="3">
        <v>22.933104</v>
      </c>
      <c r="L186" s="3">
        <v>1984</v>
      </c>
      <c r="M186" s="3">
        <v>-0.95099829999999996</v>
      </c>
      <c r="N186" s="3" t="s">
        <v>17</v>
      </c>
    </row>
    <row r="187" spans="1:14" x14ac:dyDescent="0.3">
      <c r="A187" s="3">
        <v>25.758863000000002</v>
      </c>
      <c r="B187" s="3">
        <v>1985</v>
      </c>
      <c r="C187" s="3">
        <v>-0.86122894000000005</v>
      </c>
      <c r="D187" s="3" t="s">
        <v>17</v>
      </c>
      <c r="E187" s="3"/>
      <c r="F187" s="3">
        <v>28.475190999999999</v>
      </c>
      <c r="G187" s="3">
        <v>1985</v>
      </c>
      <c r="H187" s="3">
        <v>-0.8808975</v>
      </c>
      <c r="I187" s="3" t="s">
        <v>17</v>
      </c>
      <c r="J187" s="3"/>
      <c r="K187" s="3">
        <v>23.042555</v>
      </c>
      <c r="L187" s="3">
        <v>1985</v>
      </c>
      <c r="M187" s="3">
        <v>-0.84154700000000005</v>
      </c>
      <c r="N187" s="3" t="s">
        <v>17</v>
      </c>
    </row>
    <row r="188" spans="1:14" x14ac:dyDescent="0.3">
      <c r="A188" s="3">
        <v>26.313564</v>
      </c>
      <c r="B188" s="3">
        <v>1986</v>
      </c>
      <c r="C188" s="3">
        <v>-0.30652810000000003</v>
      </c>
      <c r="D188" s="3" t="s">
        <v>17</v>
      </c>
      <c r="E188" s="3"/>
      <c r="F188" s="3">
        <v>29.238174000000001</v>
      </c>
      <c r="G188" s="3">
        <v>1986</v>
      </c>
      <c r="H188" s="3">
        <v>-0.1179142</v>
      </c>
      <c r="I188" s="3" t="s">
        <v>17</v>
      </c>
      <c r="J188" s="3"/>
      <c r="K188" s="3">
        <v>23.388974999999999</v>
      </c>
      <c r="L188" s="3">
        <v>1986</v>
      </c>
      <c r="M188" s="3">
        <v>-0.49512672000000002</v>
      </c>
      <c r="N188" s="3" t="s">
        <v>17</v>
      </c>
    </row>
    <row r="189" spans="1:14" x14ac:dyDescent="0.3">
      <c r="A189" s="3">
        <v>26.358252</v>
      </c>
      <c r="B189" s="3">
        <v>1987</v>
      </c>
      <c r="C189" s="3">
        <v>-0.26184081999999997</v>
      </c>
      <c r="D189" s="3" t="s">
        <v>17</v>
      </c>
      <c r="E189" s="3"/>
      <c r="F189" s="3">
        <v>29.078968</v>
      </c>
      <c r="G189" s="3">
        <v>1987</v>
      </c>
      <c r="H189" s="3">
        <v>-0.27712059999999999</v>
      </c>
      <c r="I189" s="3" t="s">
        <v>17</v>
      </c>
      <c r="J189" s="3"/>
      <c r="K189" s="3">
        <v>23.637543000000001</v>
      </c>
      <c r="L189" s="3">
        <v>1987</v>
      </c>
      <c r="M189" s="3">
        <v>-0.24655914000000001</v>
      </c>
      <c r="N189" s="3" t="s">
        <v>17</v>
      </c>
    </row>
    <row r="190" spans="1:14" x14ac:dyDescent="0.3">
      <c r="A190" s="3">
        <v>26.362164</v>
      </c>
      <c r="B190" s="3">
        <v>1988</v>
      </c>
      <c r="C190" s="3">
        <v>-0.25792884999999999</v>
      </c>
      <c r="D190" s="3" t="s">
        <v>17</v>
      </c>
      <c r="E190" s="3"/>
      <c r="F190" s="3">
        <v>29.141345999999999</v>
      </c>
      <c r="G190" s="3">
        <v>1988</v>
      </c>
      <c r="H190" s="3">
        <v>-0.21474266</v>
      </c>
      <c r="I190" s="3" t="s">
        <v>17</v>
      </c>
      <c r="J190" s="3"/>
      <c r="K190" s="3">
        <v>23.582999999999998</v>
      </c>
      <c r="L190" s="3">
        <v>1988</v>
      </c>
      <c r="M190" s="3">
        <v>-0.30110167999999998</v>
      </c>
      <c r="N190" s="3" t="s">
        <v>17</v>
      </c>
    </row>
    <row r="191" spans="1:14" x14ac:dyDescent="0.3">
      <c r="A191" s="3">
        <v>25.957868999999999</v>
      </c>
      <c r="B191" s="3">
        <v>1989</v>
      </c>
      <c r="C191" s="3">
        <v>-0.66222380000000003</v>
      </c>
      <c r="D191" s="3" t="s">
        <v>17</v>
      </c>
      <c r="E191" s="3"/>
      <c r="F191" s="3">
        <v>28.870419999999999</v>
      </c>
      <c r="G191" s="3">
        <v>1989</v>
      </c>
      <c r="H191" s="3">
        <v>-0.48566818</v>
      </c>
      <c r="I191" s="3" t="s">
        <v>17</v>
      </c>
      <c r="J191" s="3"/>
      <c r="K191" s="3">
        <v>23.045314999999999</v>
      </c>
      <c r="L191" s="3">
        <v>1989</v>
      </c>
      <c r="M191" s="3">
        <v>-0.83878710000000001</v>
      </c>
      <c r="N191" s="3" t="s">
        <v>17</v>
      </c>
    </row>
    <row r="192" spans="1:14" x14ac:dyDescent="0.3">
      <c r="A192" s="3">
        <v>26.356605999999999</v>
      </c>
      <c r="B192" s="3">
        <v>1990</v>
      </c>
      <c r="C192" s="3">
        <v>-0.26348685999999999</v>
      </c>
      <c r="D192" s="3" t="s">
        <v>17</v>
      </c>
      <c r="E192" s="3"/>
      <c r="F192" s="3">
        <v>29.081585</v>
      </c>
      <c r="G192" s="3">
        <v>1990</v>
      </c>
      <c r="H192" s="3">
        <v>-0.27450370000000002</v>
      </c>
      <c r="I192" s="3" t="s">
        <v>17</v>
      </c>
      <c r="J192" s="3"/>
      <c r="K192" s="3">
        <v>23.631647000000001</v>
      </c>
      <c r="L192" s="3">
        <v>1990</v>
      </c>
      <c r="M192" s="3">
        <v>-0.25245476</v>
      </c>
      <c r="N192" s="3" t="s">
        <v>17</v>
      </c>
    </row>
    <row r="193" spans="1:14" x14ac:dyDescent="0.3">
      <c r="A193" s="3">
        <v>26.295351</v>
      </c>
      <c r="B193" s="3">
        <v>1991</v>
      </c>
      <c r="C193" s="3">
        <v>-0.32474135999999998</v>
      </c>
      <c r="D193" s="3" t="s">
        <v>17</v>
      </c>
      <c r="E193" s="3"/>
      <c r="F193" s="3">
        <v>28.886666999999999</v>
      </c>
      <c r="G193" s="3">
        <v>1991</v>
      </c>
      <c r="H193" s="3">
        <v>-0.46942139999999999</v>
      </c>
      <c r="I193" s="3" t="s">
        <v>17</v>
      </c>
      <c r="J193" s="3"/>
      <c r="K193" s="3">
        <v>23.704062</v>
      </c>
      <c r="L193" s="3">
        <v>1991</v>
      </c>
      <c r="M193" s="3">
        <v>-0.18004036000000001</v>
      </c>
      <c r="N193" s="3" t="s">
        <v>17</v>
      </c>
    </row>
    <row r="194" spans="1:14" x14ac:dyDescent="0.3">
      <c r="A194" s="3">
        <v>26.426119</v>
      </c>
      <c r="B194" s="3">
        <v>1992</v>
      </c>
      <c r="C194" s="3">
        <v>-0.19397354</v>
      </c>
      <c r="D194" s="3" t="s">
        <v>17</v>
      </c>
      <c r="E194" s="3"/>
      <c r="F194" s="3">
        <v>29.253520999999999</v>
      </c>
      <c r="G194" s="3">
        <v>1992</v>
      </c>
      <c r="H194" s="3">
        <v>-0.10256767</v>
      </c>
      <c r="I194" s="3" t="s">
        <v>17</v>
      </c>
      <c r="J194" s="3"/>
      <c r="K194" s="3">
        <v>23.598746999999999</v>
      </c>
      <c r="L194" s="3">
        <v>1992</v>
      </c>
      <c r="M194" s="3">
        <v>-0.28535460000000001</v>
      </c>
      <c r="N194" s="3" t="s">
        <v>17</v>
      </c>
    </row>
    <row r="195" spans="1:14" x14ac:dyDescent="0.3">
      <c r="A195" s="3">
        <v>26.297844000000001</v>
      </c>
      <c r="B195" s="3">
        <v>1993</v>
      </c>
      <c r="C195" s="3">
        <v>-0.32224846000000001</v>
      </c>
      <c r="D195" s="3" t="s">
        <v>17</v>
      </c>
      <c r="E195" s="3"/>
      <c r="F195" s="3">
        <v>28.996668</v>
      </c>
      <c r="G195" s="3">
        <v>1993</v>
      </c>
      <c r="H195" s="3">
        <v>-0.35942078</v>
      </c>
      <c r="I195" s="3" t="s">
        <v>17</v>
      </c>
      <c r="J195" s="3"/>
      <c r="K195" s="3">
        <v>23.599019999999999</v>
      </c>
      <c r="L195" s="3">
        <v>1993</v>
      </c>
      <c r="M195" s="3">
        <v>-0.28508186000000002</v>
      </c>
      <c r="N195" s="3" t="s">
        <v>17</v>
      </c>
    </row>
    <row r="196" spans="1:14" x14ac:dyDescent="0.3">
      <c r="A196" s="3">
        <v>26.255137999999999</v>
      </c>
      <c r="B196" s="3">
        <v>1994</v>
      </c>
      <c r="C196" s="3">
        <v>-0.364954</v>
      </c>
      <c r="D196" s="3" t="s">
        <v>17</v>
      </c>
      <c r="E196" s="3"/>
      <c r="F196" s="3">
        <v>28.901168999999999</v>
      </c>
      <c r="G196" s="3">
        <v>1994</v>
      </c>
      <c r="H196" s="3">
        <v>-0.45491981999999997</v>
      </c>
      <c r="I196" s="3" t="s">
        <v>17</v>
      </c>
      <c r="J196" s="3"/>
      <c r="K196" s="3">
        <v>23.609103999999999</v>
      </c>
      <c r="L196" s="3">
        <v>1994</v>
      </c>
      <c r="M196" s="3">
        <v>-0.27499770000000001</v>
      </c>
      <c r="N196" s="3" t="s">
        <v>17</v>
      </c>
    </row>
    <row r="197" spans="1:14" x14ac:dyDescent="0.3">
      <c r="A197" s="3">
        <v>26.176919999999999</v>
      </c>
      <c r="B197" s="3">
        <v>1995</v>
      </c>
      <c r="C197" s="3">
        <v>-0.44317245</v>
      </c>
      <c r="D197" s="3" t="s">
        <v>17</v>
      </c>
      <c r="E197" s="3"/>
      <c r="F197" s="3">
        <v>28.913260000000001</v>
      </c>
      <c r="G197" s="3">
        <v>1995</v>
      </c>
      <c r="H197" s="3">
        <v>-0.44282913000000002</v>
      </c>
      <c r="I197" s="3" t="s">
        <v>17</v>
      </c>
      <c r="J197" s="3"/>
      <c r="K197" s="3">
        <v>23.440574999999999</v>
      </c>
      <c r="L197" s="3">
        <v>1995</v>
      </c>
      <c r="M197" s="3">
        <v>-0.44352722</v>
      </c>
      <c r="N197" s="3" t="s">
        <v>17</v>
      </c>
    </row>
    <row r="198" spans="1:14" x14ac:dyDescent="0.3">
      <c r="A198" s="3">
        <v>25.90072</v>
      </c>
      <c r="B198" s="3">
        <v>1996</v>
      </c>
      <c r="C198" s="3">
        <v>-0.71937180000000001</v>
      </c>
      <c r="D198" s="3" t="s">
        <v>17</v>
      </c>
      <c r="E198" s="3"/>
      <c r="F198" s="3">
        <v>28.348503000000001</v>
      </c>
      <c r="G198" s="3">
        <v>1996</v>
      </c>
      <c r="H198" s="3">
        <v>-1.0075855</v>
      </c>
      <c r="I198" s="3" t="s">
        <v>17</v>
      </c>
      <c r="J198" s="3"/>
      <c r="K198" s="3">
        <v>23.452912999999999</v>
      </c>
      <c r="L198" s="3">
        <v>1996</v>
      </c>
      <c r="M198" s="3">
        <v>-0.43118857999999999</v>
      </c>
      <c r="N198" s="3" t="s">
        <v>17</v>
      </c>
    </row>
    <row r="199" spans="1:14" x14ac:dyDescent="0.3">
      <c r="A199" s="3">
        <v>26.607959999999999</v>
      </c>
      <c r="B199" s="3">
        <v>1997</v>
      </c>
      <c r="C199" s="3">
        <v>-1.2132644999999999E-2</v>
      </c>
      <c r="D199" s="3" t="s">
        <v>17</v>
      </c>
      <c r="E199" s="3"/>
      <c r="F199" s="3">
        <v>29.455997</v>
      </c>
      <c r="G199" s="3">
        <v>1997</v>
      </c>
      <c r="H199" s="3">
        <v>9.9908830000000004E-2</v>
      </c>
      <c r="I199" s="3" t="s">
        <v>17</v>
      </c>
      <c r="J199" s="3"/>
      <c r="K199" s="3">
        <v>23.759995</v>
      </c>
      <c r="L199" s="3">
        <v>1997</v>
      </c>
      <c r="M199" s="3">
        <v>-0.12410736</v>
      </c>
      <c r="N199" s="3" t="s">
        <v>17</v>
      </c>
    </row>
    <row r="200" spans="1:14" x14ac:dyDescent="0.3">
      <c r="A200" s="3">
        <v>27.182236</v>
      </c>
      <c r="B200" s="3">
        <v>1998</v>
      </c>
      <c r="C200" s="3">
        <v>0.56214330000000001</v>
      </c>
      <c r="D200" s="3" t="s">
        <v>17</v>
      </c>
      <c r="E200" s="3"/>
      <c r="F200" s="3">
        <v>29.961393000000001</v>
      </c>
      <c r="G200" s="3">
        <v>1998</v>
      </c>
      <c r="H200" s="3">
        <v>0.60530470000000003</v>
      </c>
      <c r="I200" s="3" t="s">
        <v>17</v>
      </c>
      <c r="J200" s="3"/>
      <c r="K200" s="3">
        <v>24.403091</v>
      </c>
      <c r="L200" s="3">
        <v>1998</v>
      </c>
      <c r="M200" s="3">
        <v>0.51898955999999996</v>
      </c>
      <c r="N200" s="3" t="s">
        <v>17</v>
      </c>
    </row>
    <row r="201" spans="1:14" x14ac:dyDescent="0.3">
      <c r="A201" s="3">
        <v>25.84309</v>
      </c>
      <c r="B201" s="3">
        <v>1999</v>
      </c>
      <c r="C201" s="3">
        <v>-0.77700232999999996</v>
      </c>
      <c r="D201" s="3" t="s">
        <v>17</v>
      </c>
      <c r="E201" s="3"/>
      <c r="F201" s="3">
        <v>28.611550000000001</v>
      </c>
      <c r="G201" s="3">
        <v>1999</v>
      </c>
      <c r="H201" s="3">
        <v>-0.74453926000000004</v>
      </c>
      <c r="I201" s="3" t="s">
        <v>17</v>
      </c>
      <c r="J201" s="3"/>
      <c r="K201" s="3">
        <v>23.074594000000001</v>
      </c>
      <c r="L201" s="3">
        <v>1999</v>
      </c>
      <c r="M201" s="3">
        <v>-0.80950736999999995</v>
      </c>
      <c r="N201" s="3" t="s">
        <v>17</v>
      </c>
    </row>
    <row r="202" spans="1:14" x14ac:dyDescent="0.3">
      <c r="A202" s="3">
        <v>26.077279999999998</v>
      </c>
      <c r="B202" s="3">
        <v>2000</v>
      </c>
      <c r="C202" s="3">
        <v>-0.54281235000000005</v>
      </c>
      <c r="D202" s="3" t="s">
        <v>17</v>
      </c>
      <c r="E202" s="3"/>
      <c r="F202" s="3">
        <v>28.864521</v>
      </c>
      <c r="G202" s="3">
        <v>2000</v>
      </c>
      <c r="H202" s="3">
        <v>-0.49156759999999999</v>
      </c>
      <c r="I202" s="3" t="s">
        <v>17</v>
      </c>
      <c r="J202" s="3"/>
      <c r="K202" s="3">
        <v>23.29007</v>
      </c>
      <c r="L202" s="3">
        <v>2000</v>
      </c>
      <c r="M202" s="3">
        <v>-0.59403229999999996</v>
      </c>
      <c r="N202" s="3" t="s">
        <v>17</v>
      </c>
    </row>
    <row r="203" spans="1:14" x14ac:dyDescent="0.3">
      <c r="A203" s="3">
        <v>26.381073000000001</v>
      </c>
      <c r="B203" s="3">
        <v>2001</v>
      </c>
      <c r="C203" s="3">
        <v>-0.23901939999999999</v>
      </c>
      <c r="D203" s="3" t="s">
        <v>17</v>
      </c>
      <c r="E203" s="3"/>
      <c r="F203" s="3">
        <v>29.417210000000001</v>
      </c>
      <c r="G203" s="3">
        <v>2001</v>
      </c>
      <c r="H203" s="3">
        <v>6.1120987000000002E-2</v>
      </c>
      <c r="I203" s="3" t="s">
        <v>17</v>
      </c>
      <c r="J203" s="3"/>
      <c r="K203" s="3">
        <v>23.344967</v>
      </c>
      <c r="L203" s="3">
        <v>2001</v>
      </c>
      <c r="M203" s="3">
        <v>-0.53913500000000003</v>
      </c>
      <c r="N203" s="3" t="s">
        <v>17</v>
      </c>
    </row>
    <row r="204" spans="1:14" x14ac:dyDescent="0.3">
      <c r="A204" s="3">
        <v>26.818607</v>
      </c>
      <c r="B204" s="3">
        <v>2002</v>
      </c>
      <c r="C204" s="3">
        <v>0.19851494</v>
      </c>
      <c r="D204" s="3" t="s">
        <v>17</v>
      </c>
      <c r="E204" s="3"/>
      <c r="F204" s="3">
        <v>29.716183000000001</v>
      </c>
      <c r="G204" s="3">
        <v>2002</v>
      </c>
      <c r="H204" s="3">
        <v>0.36009406999999999</v>
      </c>
      <c r="I204" s="3" t="s">
        <v>17</v>
      </c>
      <c r="J204" s="3"/>
      <c r="K204" s="3">
        <v>23.921081999999998</v>
      </c>
      <c r="L204" s="3">
        <v>2002</v>
      </c>
      <c r="M204" s="3">
        <v>3.6979674999999997E-2</v>
      </c>
      <c r="N204" s="3" t="s">
        <v>17</v>
      </c>
    </row>
    <row r="205" spans="1:14" x14ac:dyDescent="0.3">
      <c r="A205" s="3">
        <v>26.497204</v>
      </c>
      <c r="B205" s="3">
        <v>2003</v>
      </c>
      <c r="C205" s="3">
        <v>-0.12288856500000001</v>
      </c>
      <c r="D205" s="3" t="s">
        <v>17</v>
      </c>
      <c r="E205" s="3"/>
      <c r="F205" s="3">
        <v>29.319008</v>
      </c>
      <c r="G205" s="3">
        <v>2003</v>
      </c>
      <c r="H205" s="3">
        <v>-3.7080765000000002E-2</v>
      </c>
      <c r="I205" s="3" t="s">
        <v>17</v>
      </c>
      <c r="J205" s="3"/>
      <c r="K205" s="3">
        <v>23.675373</v>
      </c>
      <c r="L205" s="3">
        <v>2003</v>
      </c>
      <c r="M205" s="3">
        <v>-0.20872879</v>
      </c>
      <c r="N205" s="3" t="s">
        <v>17</v>
      </c>
    </row>
    <row r="206" spans="1:14" x14ac:dyDescent="0.3">
      <c r="A206" s="3">
        <v>26.679365000000001</v>
      </c>
      <c r="B206" s="3">
        <v>2004</v>
      </c>
      <c r="C206" s="3">
        <v>5.9272765999999998E-2</v>
      </c>
      <c r="D206" s="3" t="s">
        <v>17</v>
      </c>
      <c r="E206" s="3"/>
      <c r="F206" s="3">
        <v>29.126823000000002</v>
      </c>
      <c r="G206" s="3">
        <v>2004</v>
      </c>
      <c r="H206" s="3">
        <v>-0.22926521</v>
      </c>
      <c r="I206" s="3" t="s">
        <v>17</v>
      </c>
      <c r="J206" s="3"/>
      <c r="K206" s="3">
        <v>24.231869</v>
      </c>
      <c r="L206" s="3">
        <v>2004</v>
      </c>
      <c r="M206" s="3">
        <v>0.34776688</v>
      </c>
      <c r="N206" s="3" t="s">
        <v>17</v>
      </c>
    </row>
    <row r="207" spans="1:14" x14ac:dyDescent="0.3">
      <c r="A207" s="3">
        <v>26.832722</v>
      </c>
      <c r="B207" s="3">
        <v>2005</v>
      </c>
      <c r="C207" s="3">
        <v>0.21262932000000001</v>
      </c>
      <c r="D207" s="3" t="s">
        <v>17</v>
      </c>
      <c r="E207" s="3"/>
      <c r="F207" s="3">
        <v>29.667014999999999</v>
      </c>
      <c r="G207" s="3">
        <v>2005</v>
      </c>
      <c r="H207" s="3">
        <v>0.31092644000000003</v>
      </c>
      <c r="I207" s="3" t="s">
        <v>17</v>
      </c>
      <c r="J207" s="3"/>
      <c r="K207" s="3">
        <v>23.998383</v>
      </c>
      <c r="L207" s="3">
        <v>2005</v>
      </c>
      <c r="M207" s="3">
        <v>0.1142807</v>
      </c>
      <c r="N207" s="3" t="s">
        <v>17</v>
      </c>
    </row>
    <row r="208" spans="1:14" x14ac:dyDescent="0.3">
      <c r="A208" s="3">
        <v>26.523720000000001</v>
      </c>
      <c r="B208" s="3">
        <v>2006</v>
      </c>
      <c r="C208" s="3">
        <v>-9.6372604000000001E-2</v>
      </c>
      <c r="D208" s="3" t="s">
        <v>17</v>
      </c>
      <c r="E208" s="3"/>
      <c r="F208" s="3">
        <v>29.217295</v>
      </c>
      <c r="G208" s="3">
        <v>2006</v>
      </c>
      <c r="H208" s="3">
        <v>-0.13879395</v>
      </c>
      <c r="I208" s="3" t="s">
        <v>17</v>
      </c>
      <c r="J208" s="3"/>
      <c r="K208" s="3">
        <v>23.83013</v>
      </c>
      <c r="L208" s="3">
        <v>2006</v>
      </c>
      <c r="M208" s="3">
        <v>-5.3972244000000003E-2</v>
      </c>
      <c r="N208" s="3" t="s">
        <v>17</v>
      </c>
    </row>
    <row r="209" spans="1:14" x14ac:dyDescent="0.3">
      <c r="A209" s="3">
        <v>26.600517</v>
      </c>
      <c r="B209" s="3">
        <v>2007</v>
      </c>
      <c r="C209" s="3">
        <v>-1.9575118999999998E-2</v>
      </c>
      <c r="D209" s="3" t="s">
        <v>17</v>
      </c>
      <c r="E209" s="3"/>
      <c r="F209" s="3">
        <v>29.193280999999999</v>
      </c>
      <c r="G209" s="3">
        <v>2007</v>
      </c>
      <c r="H209" s="3">
        <v>-0.16280745999999999</v>
      </c>
      <c r="I209" s="3" t="s">
        <v>17</v>
      </c>
      <c r="J209" s="3"/>
      <c r="K209" s="3">
        <v>24.007785999999999</v>
      </c>
      <c r="L209" s="3">
        <v>2007</v>
      </c>
      <c r="M209" s="3">
        <v>0.12368393</v>
      </c>
      <c r="N209" s="3" t="s">
        <v>17</v>
      </c>
    </row>
    <row r="210" spans="1:14" x14ac:dyDescent="0.3">
      <c r="A210" s="3">
        <v>26.221916</v>
      </c>
      <c r="B210" s="3">
        <v>2008</v>
      </c>
      <c r="C210" s="3">
        <v>-0.39817619999999998</v>
      </c>
      <c r="D210" s="3" t="s">
        <v>17</v>
      </c>
      <c r="E210" s="3"/>
      <c r="F210" s="3">
        <v>28.93939</v>
      </c>
      <c r="G210" s="3">
        <v>2008</v>
      </c>
      <c r="H210" s="3">
        <v>-0.41669845999999999</v>
      </c>
      <c r="I210" s="3" t="s">
        <v>17</v>
      </c>
      <c r="J210" s="3"/>
      <c r="K210" s="3">
        <v>23.504435000000001</v>
      </c>
      <c r="L210" s="3">
        <v>2008</v>
      </c>
      <c r="M210" s="3">
        <v>-0.37966728</v>
      </c>
      <c r="N210" s="3" t="s">
        <v>17</v>
      </c>
    </row>
    <row r="211" spans="1:14" x14ac:dyDescent="0.3">
      <c r="A211" s="3">
        <v>26.671552999999999</v>
      </c>
      <c r="B211" s="3">
        <v>2009</v>
      </c>
      <c r="C211" s="3">
        <v>5.1460265999999998E-2</v>
      </c>
      <c r="D211" s="3" t="s">
        <v>17</v>
      </c>
      <c r="E211" s="3"/>
      <c r="F211" s="3">
        <v>29.550356000000001</v>
      </c>
      <c r="G211" s="3">
        <v>2009</v>
      </c>
      <c r="H211" s="3">
        <v>0.19426726999999999</v>
      </c>
      <c r="I211" s="3" t="s">
        <v>17</v>
      </c>
      <c r="J211" s="3"/>
      <c r="K211" s="3">
        <v>23.792711000000001</v>
      </c>
      <c r="L211" s="3">
        <v>2009</v>
      </c>
      <c r="M211" s="3">
        <v>-9.1390609999999997E-2</v>
      </c>
      <c r="N211" s="3" t="s">
        <v>17</v>
      </c>
    </row>
    <row r="212" spans="1:14" x14ac:dyDescent="0.3">
      <c r="A212" s="3">
        <v>27.416239999999998</v>
      </c>
      <c r="B212" s="3">
        <v>2010</v>
      </c>
      <c r="C212" s="3">
        <v>0.79614830000000003</v>
      </c>
      <c r="D212" s="3" t="s">
        <v>17</v>
      </c>
      <c r="E212" s="3"/>
      <c r="F212" s="3">
        <v>30.124838</v>
      </c>
      <c r="G212" s="3">
        <v>2010</v>
      </c>
      <c r="H212" s="3">
        <v>0.76874924</v>
      </c>
      <c r="I212" s="3" t="s">
        <v>17</v>
      </c>
      <c r="J212" s="3"/>
      <c r="K212" s="3">
        <v>24.707657000000001</v>
      </c>
      <c r="L212" s="3">
        <v>2010</v>
      </c>
      <c r="M212" s="3">
        <v>0.82355500000000004</v>
      </c>
      <c r="N212" s="3" t="s">
        <v>17</v>
      </c>
    </row>
    <row r="213" spans="1:14" x14ac:dyDescent="0.3">
      <c r="A213" s="3">
        <v>26.735945000000001</v>
      </c>
      <c r="B213" s="3">
        <v>2011</v>
      </c>
      <c r="C213" s="3">
        <v>0.115852356</v>
      </c>
      <c r="D213" s="3" t="s">
        <v>17</v>
      </c>
      <c r="E213" s="3"/>
      <c r="F213" s="3">
        <v>29.66733</v>
      </c>
      <c r="G213" s="3">
        <v>2011</v>
      </c>
      <c r="H213" s="3">
        <v>0.31124115000000002</v>
      </c>
      <c r="I213" s="3" t="s">
        <v>17</v>
      </c>
      <c r="J213" s="3"/>
      <c r="K213" s="3">
        <v>23.804584999999999</v>
      </c>
      <c r="L213" s="3">
        <v>2011</v>
      </c>
      <c r="M213" s="3">
        <v>-7.9517365000000007E-2</v>
      </c>
      <c r="N213" s="3" t="s">
        <v>17</v>
      </c>
    </row>
    <row r="214" spans="1:14" x14ac:dyDescent="0.3">
      <c r="A214" s="3">
        <v>26.718250000000001</v>
      </c>
      <c r="B214" s="3">
        <v>2012</v>
      </c>
      <c r="C214" s="3">
        <v>9.8157880000000003E-2</v>
      </c>
      <c r="D214" s="3" t="s">
        <v>17</v>
      </c>
      <c r="E214" s="3"/>
      <c r="F214" s="3">
        <v>29.564661000000001</v>
      </c>
      <c r="G214" s="3">
        <v>2012</v>
      </c>
      <c r="H214" s="3">
        <v>0.20857239</v>
      </c>
      <c r="I214" s="3" t="s">
        <v>17</v>
      </c>
      <c r="J214" s="3"/>
      <c r="K214" s="3">
        <v>23.871835999999998</v>
      </c>
      <c r="L214" s="3">
        <v>2012</v>
      </c>
      <c r="M214" s="3">
        <v>-1.2266159E-2</v>
      </c>
      <c r="N214" s="3" t="s">
        <v>17</v>
      </c>
    </row>
    <row r="215" spans="1:14" x14ac:dyDescent="0.3">
      <c r="A215" s="3">
        <v>26.579180000000001</v>
      </c>
      <c r="B215" s="3">
        <v>2013</v>
      </c>
      <c r="C215" s="3">
        <v>-4.0912629999999998E-2</v>
      </c>
      <c r="D215" s="3" t="s">
        <v>17</v>
      </c>
      <c r="E215" s="3"/>
      <c r="F215" s="3">
        <v>29.258184</v>
      </c>
      <c r="G215" s="3">
        <v>2013</v>
      </c>
      <c r="H215" s="3">
        <v>-9.7904204999999994E-2</v>
      </c>
      <c r="I215" s="3" t="s">
        <v>17</v>
      </c>
      <c r="J215" s="3"/>
      <c r="K215" s="3">
        <v>23.900179999999999</v>
      </c>
      <c r="L215" s="3">
        <v>2013</v>
      </c>
      <c r="M215" s="3">
        <v>1.6078948999999999E-2</v>
      </c>
      <c r="N215" s="3" t="s">
        <v>17</v>
      </c>
    </row>
    <row r="216" spans="1:14" x14ac:dyDescent="0.3">
      <c r="A216" s="3">
        <v>26.815923999999999</v>
      </c>
      <c r="B216" s="3">
        <v>2014</v>
      </c>
      <c r="C216" s="3">
        <v>0.19583130000000001</v>
      </c>
      <c r="D216" s="3" t="s">
        <v>17</v>
      </c>
      <c r="E216" s="3"/>
      <c r="F216" s="3">
        <v>29.609694999999999</v>
      </c>
      <c r="G216" s="3">
        <v>2014</v>
      </c>
      <c r="H216" s="3">
        <v>0.25360680000000002</v>
      </c>
      <c r="I216" s="3" t="s">
        <v>17</v>
      </c>
      <c r="J216" s="3"/>
      <c r="K216" s="3">
        <v>24.022107999999999</v>
      </c>
      <c r="L216" s="3">
        <v>2014</v>
      </c>
      <c r="M216" s="3">
        <v>0.13800620999999999</v>
      </c>
      <c r="N216" s="3" t="s">
        <v>17</v>
      </c>
    </row>
    <row r="217" spans="1:14" x14ac:dyDescent="0.3">
      <c r="A217" s="3">
        <v>27.101710000000001</v>
      </c>
      <c r="B217" s="3">
        <v>2015</v>
      </c>
      <c r="C217" s="3">
        <v>0.48161696999999998</v>
      </c>
      <c r="D217" s="3" t="s">
        <v>17</v>
      </c>
      <c r="E217" s="3"/>
      <c r="F217" s="3">
        <v>29.790537</v>
      </c>
      <c r="G217" s="3">
        <v>2015</v>
      </c>
      <c r="H217" s="3">
        <v>0.43444823999999999</v>
      </c>
      <c r="I217" s="3" t="s">
        <v>17</v>
      </c>
      <c r="J217" s="3"/>
      <c r="K217" s="3">
        <v>24.4129</v>
      </c>
      <c r="L217" s="3">
        <v>2015</v>
      </c>
      <c r="M217" s="3">
        <v>0.52879905999999999</v>
      </c>
      <c r="N217" s="3" t="s">
        <v>17</v>
      </c>
    </row>
    <row r="218" spans="1:14" x14ac:dyDescent="0.3">
      <c r="A218" s="3">
        <v>27.290012000000001</v>
      </c>
      <c r="B218" s="3">
        <v>2016</v>
      </c>
      <c r="C218" s="3">
        <v>0.66991997000000003</v>
      </c>
      <c r="D218" s="3" t="s">
        <v>17</v>
      </c>
      <c r="E218" s="3"/>
      <c r="F218" s="3">
        <v>30.019093999999999</v>
      </c>
      <c r="G218" s="3">
        <v>2016</v>
      </c>
      <c r="H218" s="3">
        <v>0.66300579999999998</v>
      </c>
      <c r="I218" s="3" t="s">
        <v>17</v>
      </c>
      <c r="J218" s="3"/>
      <c r="K218" s="3">
        <v>24.560943999999999</v>
      </c>
      <c r="L218" s="3">
        <v>2016</v>
      </c>
      <c r="M218" s="3">
        <v>0.67684173999999997</v>
      </c>
      <c r="N218" s="3" t="s">
        <v>17</v>
      </c>
    </row>
    <row r="219" spans="1:14" x14ac:dyDescent="0.3">
      <c r="A219" s="3">
        <v>26.959076</v>
      </c>
      <c r="B219" s="3">
        <v>2017</v>
      </c>
      <c r="C219" s="3">
        <v>0.33898354000000003</v>
      </c>
      <c r="D219" s="3" t="s">
        <v>17</v>
      </c>
      <c r="E219" s="3"/>
      <c r="F219" s="3">
        <v>29.700806</v>
      </c>
      <c r="G219" s="3">
        <v>2017</v>
      </c>
      <c r="H219" s="3">
        <v>0.34471702999999998</v>
      </c>
      <c r="I219" s="3" t="s">
        <v>17</v>
      </c>
      <c r="J219" s="3"/>
      <c r="K219" s="3">
        <v>24.217354</v>
      </c>
      <c r="L219" s="3">
        <v>2017</v>
      </c>
      <c r="M219" s="3">
        <v>0.33325195000000002</v>
      </c>
      <c r="N219" s="3" t="s">
        <v>17</v>
      </c>
    </row>
    <row r="220" spans="1:14" x14ac:dyDescent="0.3">
      <c r="A220" s="3">
        <v>26.54759</v>
      </c>
      <c r="B220" s="3">
        <v>2018</v>
      </c>
      <c r="C220" s="3">
        <v>-7.2502135999999995E-2</v>
      </c>
      <c r="D220" s="3" t="s">
        <v>17</v>
      </c>
      <c r="E220" s="3"/>
      <c r="F220" s="3">
        <v>29.269314000000001</v>
      </c>
      <c r="G220" s="3">
        <v>2018</v>
      </c>
      <c r="H220" s="3">
        <v>-8.6774825999999999E-2</v>
      </c>
      <c r="I220" s="3" t="s">
        <v>17</v>
      </c>
      <c r="J220" s="3"/>
      <c r="K220" s="3">
        <v>23.825901000000002</v>
      </c>
      <c r="L220" s="3">
        <v>2018</v>
      </c>
      <c r="M220" s="3">
        <v>-5.8200835999999999E-2</v>
      </c>
      <c r="N220" s="3" t="s">
        <v>17</v>
      </c>
    </row>
    <row r="221" spans="1:14" x14ac:dyDescent="0.3">
      <c r="A221" s="3">
        <v>26.980184999999999</v>
      </c>
      <c r="B221" s="3">
        <v>2019</v>
      </c>
      <c r="C221" s="3">
        <v>0.36009215999999999</v>
      </c>
      <c r="D221" s="3" t="s">
        <v>17</v>
      </c>
      <c r="E221" s="3"/>
      <c r="F221" s="3">
        <v>29.587240000000001</v>
      </c>
      <c r="G221" s="3">
        <v>2019</v>
      </c>
      <c r="H221" s="3">
        <v>0.23115158</v>
      </c>
      <c r="I221" s="3" t="s">
        <v>17</v>
      </c>
      <c r="J221" s="3"/>
      <c r="K221" s="3">
        <v>24.373114000000001</v>
      </c>
      <c r="L221" s="3">
        <v>2019</v>
      </c>
      <c r="M221" s="3">
        <v>0.48901176000000002</v>
      </c>
      <c r="N221" s="3" t="s">
        <v>17</v>
      </c>
    </row>
    <row r="222" spans="1:14" x14ac:dyDescent="0.3">
      <c r="A222" s="3">
        <v>27.169353000000001</v>
      </c>
      <c r="B222" s="3">
        <v>2020</v>
      </c>
      <c r="C222" s="3">
        <v>0.54926109999999995</v>
      </c>
      <c r="D222" s="3" t="s">
        <v>17</v>
      </c>
      <c r="E222" s="3"/>
      <c r="F222" s="3">
        <v>29.751238000000001</v>
      </c>
      <c r="G222" s="3">
        <v>2020</v>
      </c>
      <c r="H222" s="3">
        <v>0.39514923000000002</v>
      </c>
      <c r="I222" s="3" t="s">
        <v>17</v>
      </c>
      <c r="J222" s="3"/>
      <c r="K222" s="3">
        <v>24.587502000000001</v>
      </c>
      <c r="L222" s="3">
        <v>2020</v>
      </c>
      <c r="M222" s="3">
        <v>0.70339965999999998</v>
      </c>
      <c r="N222" s="3" t="s">
        <v>17</v>
      </c>
    </row>
    <row r="223" spans="1:14" x14ac:dyDescent="0.3">
      <c r="A223" s="3">
        <v>26.471</v>
      </c>
      <c r="B223" s="3">
        <v>2021</v>
      </c>
      <c r="C223" s="3">
        <v>-0.14909172000000001</v>
      </c>
      <c r="D223" s="3" t="s">
        <v>17</v>
      </c>
      <c r="E223" s="3"/>
      <c r="F223" s="3">
        <v>29.137035000000001</v>
      </c>
      <c r="G223" s="3">
        <v>2021</v>
      </c>
      <c r="H223" s="3">
        <v>-0.21905326999999999</v>
      </c>
      <c r="I223" s="3" t="s">
        <v>17</v>
      </c>
      <c r="J223" s="3"/>
      <c r="K223" s="3">
        <v>23.804993</v>
      </c>
      <c r="L223" s="3">
        <v>2021</v>
      </c>
      <c r="M223" s="3">
        <v>-7.9109189999999996E-2</v>
      </c>
      <c r="N223" s="3" t="s">
        <v>17</v>
      </c>
    </row>
    <row r="224" spans="1:14" x14ac:dyDescent="0.3">
      <c r="A224" s="3">
        <v>26.607727000000001</v>
      </c>
      <c r="B224" s="3">
        <v>2022</v>
      </c>
      <c r="C224" s="3">
        <v>-1.2365341E-2</v>
      </c>
      <c r="D224" s="3" t="s">
        <v>17</v>
      </c>
      <c r="E224" s="3"/>
      <c r="F224" s="3">
        <v>29.246683000000001</v>
      </c>
      <c r="G224" s="3">
        <v>2022</v>
      </c>
      <c r="H224" s="3">
        <v>-0.10940552000000001</v>
      </c>
      <c r="I224" s="3" t="s">
        <v>17</v>
      </c>
      <c r="J224" s="3"/>
      <c r="K224" s="3">
        <v>23.968775000000001</v>
      </c>
      <c r="L224" s="3">
        <v>2022</v>
      </c>
      <c r="M224" s="3">
        <v>8.4672929999999993E-2</v>
      </c>
      <c r="N224" s="3" t="s">
        <v>17</v>
      </c>
    </row>
    <row r="225" spans="1:14" x14ac:dyDescent="0.3">
      <c r="A225" s="3">
        <v>27.463622999999998</v>
      </c>
      <c r="B225" s="3">
        <v>2023</v>
      </c>
      <c r="C225" s="3">
        <v>0.84353065000000005</v>
      </c>
      <c r="D225" s="3" t="s">
        <v>17</v>
      </c>
      <c r="E225" s="3"/>
      <c r="F225" s="3">
        <v>30.430748000000001</v>
      </c>
      <c r="G225" s="3">
        <v>2023</v>
      </c>
      <c r="H225" s="3">
        <v>1.0746593</v>
      </c>
      <c r="I225" s="3" t="s">
        <v>17</v>
      </c>
      <c r="J225" s="3"/>
      <c r="K225" s="3">
        <v>24.496506</v>
      </c>
      <c r="L225" s="3">
        <v>2023</v>
      </c>
      <c r="M225" s="3">
        <v>0.61240386999999996</v>
      </c>
      <c r="N225" s="3" t="s">
        <v>17</v>
      </c>
    </row>
    <row r="226" spans="1:14" x14ac:dyDescent="0.3">
      <c r="A226" s="3">
        <v>27.419156999999998</v>
      </c>
      <c r="B226" s="3">
        <v>2024</v>
      </c>
      <c r="C226" s="3">
        <v>0.79906463999999999</v>
      </c>
      <c r="D226" s="3" t="s">
        <v>17</v>
      </c>
      <c r="E226" s="3"/>
      <c r="F226" s="3">
        <v>30.131436999999998</v>
      </c>
      <c r="G226" s="3">
        <v>2024</v>
      </c>
      <c r="H226" s="3">
        <v>0.77534866000000002</v>
      </c>
      <c r="I226" s="3" t="s">
        <v>17</v>
      </c>
      <c r="J226" s="3"/>
      <c r="K226" s="3">
        <v>24.706858</v>
      </c>
      <c r="L226" s="3">
        <v>2024</v>
      </c>
      <c r="M226" s="3">
        <v>0.82275580000000004</v>
      </c>
      <c r="N226" s="3" t="s">
        <v>17</v>
      </c>
    </row>
    <row r="227" spans="1:14" x14ac:dyDescent="0.3">
      <c r="A227" s="3">
        <v>26.293177</v>
      </c>
      <c r="B227" s="3">
        <v>2025</v>
      </c>
      <c r="C227" s="3">
        <v>-0.32691574000000001</v>
      </c>
      <c r="D227" s="3" t="s">
        <v>17</v>
      </c>
      <c r="E227" s="3"/>
      <c r="F227" s="3">
        <v>28.732341999999999</v>
      </c>
      <c r="G227" s="3">
        <v>2025</v>
      </c>
      <c r="H227" s="3">
        <v>-0.62374689999999999</v>
      </c>
      <c r="I227" s="3" t="s">
        <v>17</v>
      </c>
      <c r="J227" s="3"/>
      <c r="K227" s="3">
        <v>23.853977</v>
      </c>
      <c r="L227" s="3">
        <v>2025</v>
      </c>
      <c r="M227" s="3">
        <v>-3.0124663999999999E-2</v>
      </c>
      <c r="N227" s="3" t="s">
        <v>17</v>
      </c>
    </row>
    <row r="228" spans="1:14" x14ac:dyDescent="0.3">
      <c r="A228" s="3">
        <v>25.905899999999999</v>
      </c>
      <c r="B228" s="3">
        <v>1981</v>
      </c>
      <c r="C228" s="3">
        <v>-0.6726742</v>
      </c>
      <c r="D228" s="3" t="s">
        <v>18</v>
      </c>
      <c r="E228" s="3"/>
      <c r="F228" s="3">
        <v>28.177610000000001</v>
      </c>
      <c r="G228" s="3">
        <v>1981</v>
      </c>
      <c r="H228" s="3">
        <v>-1.0921650000000001</v>
      </c>
      <c r="I228" s="3" t="s">
        <v>18</v>
      </c>
      <c r="J228" s="3"/>
      <c r="K228" s="3">
        <v>23.634212000000002</v>
      </c>
      <c r="L228" s="3">
        <v>1981</v>
      </c>
      <c r="M228" s="3">
        <v>-0.25315284999999998</v>
      </c>
      <c r="N228" s="3" t="s">
        <v>18</v>
      </c>
    </row>
    <row r="229" spans="1:14" x14ac:dyDescent="0.3">
      <c r="A229" s="3">
        <v>26.239972999999999</v>
      </c>
      <c r="B229" s="3">
        <v>1982</v>
      </c>
      <c r="C229" s="3">
        <v>-0.33860015999999998</v>
      </c>
      <c r="D229" s="3" t="s">
        <v>18</v>
      </c>
      <c r="E229" s="3"/>
      <c r="F229" s="3">
        <v>28.908297999999998</v>
      </c>
      <c r="G229" s="3">
        <v>1982</v>
      </c>
      <c r="H229" s="3">
        <v>-0.36147689999999999</v>
      </c>
      <c r="I229" s="3" t="s">
        <v>18</v>
      </c>
      <c r="J229" s="3"/>
      <c r="K229" s="3">
        <v>23.571680000000001</v>
      </c>
      <c r="L229" s="3">
        <v>1982</v>
      </c>
      <c r="M229" s="3">
        <v>-0.31568527000000002</v>
      </c>
      <c r="N229" s="3" t="s">
        <v>18</v>
      </c>
    </row>
    <row r="230" spans="1:14" x14ac:dyDescent="0.3">
      <c r="A230" s="3">
        <v>26.621103000000002</v>
      </c>
      <c r="B230" s="3">
        <v>1983</v>
      </c>
      <c r="C230" s="3">
        <v>4.2530060000000001E-2</v>
      </c>
      <c r="D230" s="3" t="s">
        <v>18</v>
      </c>
      <c r="E230" s="3"/>
      <c r="F230" s="3">
        <v>29.309159999999999</v>
      </c>
      <c r="G230" s="3">
        <v>1983</v>
      </c>
      <c r="H230" s="3">
        <v>3.9384842000000003E-2</v>
      </c>
      <c r="I230" s="3" t="s">
        <v>18</v>
      </c>
      <c r="J230" s="3"/>
      <c r="K230" s="3">
        <v>23.933035</v>
      </c>
      <c r="L230" s="3">
        <v>1983</v>
      </c>
      <c r="M230" s="3">
        <v>4.5669556E-2</v>
      </c>
      <c r="N230" s="3" t="s">
        <v>18</v>
      </c>
    </row>
    <row r="231" spans="1:14" x14ac:dyDescent="0.3">
      <c r="A231" s="3">
        <v>25.705069999999999</v>
      </c>
      <c r="B231" s="3">
        <v>1984</v>
      </c>
      <c r="C231" s="3">
        <v>-0.87350273000000001</v>
      </c>
      <c r="D231" s="3" t="s">
        <v>18</v>
      </c>
      <c r="E231" s="3"/>
      <c r="F231" s="3">
        <v>28.141349999999999</v>
      </c>
      <c r="G231" s="3">
        <v>1984</v>
      </c>
      <c r="H231" s="3">
        <v>-1.1284255999999999</v>
      </c>
      <c r="I231" s="3" t="s">
        <v>18</v>
      </c>
      <c r="J231" s="3"/>
      <c r="K231" s="3">
        <v>23.268784</v>
      </c>
      <c r="L231" s="3">
        <v>1984</v>
      </c>
      <c r="M231" s="3">
        <v>-0.61858179999999996</v>
      </c>
      <c r="N231" s="3" t="s">
        <v>18</v>
      </c>
    </row>
    <row r="232" spans="1:14" x14ac:dyDescent="0.3">
      <c r="A232" s="3">
        <v>25.754722999999998</v>
      </c>
      <c r="B232" s="3">
        <v>1985</v>
      </c>
      <c r="C232" s="3">
        <v>-0.82385063000000003</v>
      </c>
      <c r="D232" s="3" t="s">
        <v>18</v>
      </c>
      <c r="E232" s="3"/>
      <c r="F232" s="3">
        <v>28.181515000000001</v>
      </c>
      <c r="G232" s="3">
        <v>1985</v>
      </c>
      <c r="H232" s="3">
        <v>-1.0882607</v>
      </c>
      <c r="I232" s="3" t="s">
        <v>18</v>
      </c>
      <c r="J232" s="3"/>
      <c r="K232" s="3">
        <v>23.327938</v>
      </c>
      <c r="L232" s="3">
        <v>1985</v>
      </c>
      <c r="M232" s="3">
        <v>-0.55942725999999998</v>
      </c>
      <c r="N232" s="3" t="s">
        <v>18</v>
      </c>
    </row>
    <row r="233" spans="1:14" x14ac:dyDescent="0.3">
      <c r="A233" s="3">
        <v>26.060206999999998</v>
      </c>
      <c r="B233" s="3">
        <v>1986</v>
      </c>
      <c r="C233" s="3">
        <v>-0.51836585999999996</v>
      </c>
      <c r="D233" s="3" t="s">
        <v>18</v>
      </c>
      <c r="E233" s="3"/>
      <c r="F233" s="3">
        <v>28.712413999999999</v>
      </c>
      <c r="G233" s="3">
        <v>1986</v>
      </c>
      <c r="H233" s="3">
        <v>-0.55736160000000001</v>
      </c>
      <c r="I233" s="3" t="s">
        <v>18</v>
      </c>
      <c r="J233" s="3"/>
      <c r="K233" s="3">
        <v>23.408009</v>
      </c>
      <c r="L233" s="3">
        <v>1986</v>
      </c>
      <c r="M233" s="3">
        <v>-0.47935676999999999</v>
      </c>
      <c r="N233" s="3" t="s">
        <v>18</v>
      </c>
    </row>
    <row r="234" spans="1:14" x14ac:dyDescent="0.3">
      <c r="A234" s="3">
        <v>26.663017</v>
      </c>
      <c r="B234" s="3">
        <v>1987</v>
      </c>
      <c r="C234" s="3">
        <v>8.4444045999999995E-2</v>
      </c>
      <c r="D234" s="3" t="s">
        <v>18</v>
      </c>
      <c r="E234" s="3"/>
      <c r="F234" s="3">
        <v>29.480333000000002</v>
      </c>
      <c r="G234" s="3">
        <v>1987</v>
      </c>
      <c r="H234" s="3">
        <v>0.21055794</v>
      </c>
      <c r="I234" s="3" t="s">
        <v>18</v>
      </c>
      <c r="J234" s="3"/>
      <c r="K234" s="3">
        <v>23.845707000000001</v>
      </c>
      <c r="L234" s="3">
        <v>1987</v>
      </c>
      <c r="M234" s="3">
        <v>-4.1658399999999998E-2</v>
      </c>
      <c r="N234" s="3" t="s">
        <v>18</v>
      </c>
    </row>
    <row r="235" spans="1:14" x14ac:dyDescent="0.3">
      <c r="A235" s="3">
        <v>25.988226000000001</v>
      </c>
      <c r="B235" s="3">
        <v>1988</v>
      </c>
      <c r="C235" s="3">
        <v>-0.59034730000000002</v>
      </c>
      <c r="D235" s="3" t="s">
        <v>18</v>
      </c>
      <c r="E235" s="3"/>
      <c r="F235" s="3">
        <v>28.594477000000001</v>
      </c>
      <c r="G235" s="3">
        <v>1988</v>
      </c>
      <c r="H235" s="3">
        <v>-0.67529870000000003</v>
      </c>
      <c r="I235" s="3" t="s">
        <v>18</v>
      </c>
      <c r="J235" s="3"/>
      <c r="K235" s="3">
        <v>23.381997999999999</v>
      </c>
      <c r="L235" s="3">
        <v>1988</v>
      </c>
      <c r="M235" s="3">
        <v>-0.50536729999999996</v>
      </c>
      <c r="N235" s="3" t="s">
        <v>18</v>
      </c>
    </row>
    <row r="236" spans="1:14" x14ac:dyDescent="0.3">
      <c r="A236" s="3">
        <v>25.872617999999999</v>
      </c>
      <c r="B236" s="3">
        <v>1989</v>
      </c>
      <c r="C236" s="3">
        <v>-0.70595549999999996</v>
      </c>
      <c r="D236" s="3" t="s">
        <v>18</v>
      </c>
      <c r="E236" s="3"/>
      <c r="F236" s="3">
        <v>28.479866000000001</v>
      </c>
      <c r="G236" s="3">
        <v>1989</v>
      </c>
      <c r="H236" s="3">
        <v>-0.78990936</v>
      </c>
      <c r="I236" s="3" t="s">
        <v>18</v>
      </c>
      <c r="J236" s="3"/>
      <c r="K236" s="3">
        <v>23.265362</v>
      </c>
      <c r="L236" s="3">
        <v>1989</v>
      </c>
      <c r="M236" s="3">
        <v>-0.62200356000000001</v>
      </c>
      <c r="N236" s="3" t="s">
        <v>18</v>
      </c>
    </row>
    <row r="237" spans="1:14" x14ac:dyDescent="0.3">
      <c r="A237" s="3">
        <v>26.318553999999999</v>
      </c>
      <c r="B237" s="3">
        <v>1990</v>
      </c>
      <c r="C237" s="3">
        <v>-0.26001930000000001</v>
      </c>
      <c r="D237" s="3" t="s">
        <v>18</v>
      </c>
      <c r="E237" s="3"/>
      <c r="F237" s="3">
        <v>28.893554999999999</v>
      </c>
      <c r="G237" s="3">
        <v>1990</v>
      </c>
      <c r="H237" s="3">
        <v>-0.37622070000000002</v>
      </c>
      <c r="I237" s="3" t="s">
        <v>18</v>
      </c>
      <c r="J237" s="3"/>
      <c r="K237" s="3">
        <v>23.743559000000001</v>
      </c>
      <c r="L237" s="3">
        <v>1990</v>
      </c>
      <c r="M237" s="3">
        <v>-0.14380646</v>
      </c>
      <c r="N237" s="3" t="s">
        <v>18</v>
      </c>
    </row>
    <row r="238" spans="1:14" x14ac:dyDescent="0.3">
      <c r="A238" s="3">
        <v>26.377296000000001</v>
      </c>
      <c r="B238" s="3">
        <v>1991</v>
      </c>
      <c r="C238" s="3">
        <v>-0.20127677999999999</v>
      </c>
      <c r="D238" s="3" t="s">
        <v>18</v>
      </c>
      <c r="E238" s="3"/>
      <c r="F238" s="3">
        <v>28.924994999999999</v>
      </c>
      <c r="G238" s="3">
        <v>1991</v>
      </c>
      <c r="H238" s="3">
        <v>-0.34477996999999999</v>
      </c>
      <c r="I238" s="3" t="s">
        <v>18</v>
      </c>
      <c r="J238" s="3"/>
      <c r="K238" s="3">
        <v>23.829578000000001</v>
      </c>
      <c r="L238" s="3">
        <v>1991</v>
      </c>
      <c r="M238" s="3">
        <v>-5.7786940000000002E-2</v>
      </c>
      <c r="N238" s="3" t="s">
        <v>18</v>
      </c>
    </row>
    <row r="239" spans="1:14" x14ac:dyDescent="0.3">
      <c r="A239" s="3">
        <v>26.560917</v>
      </c>
      <c r="B239" s="3">
        <v>1992</v>
      </c>
      <c r="C239" s="3">
        <v>-1.7656326E-2</v>
      </c>
      <c r="D239" s="3" t="s">
        <v>18</v>
      </c>
      <c r="E239" s="3"/>
      <c r="F239" s="3">
        <v>29.470037000000001</v>
      </c>
      <c r="G239" s="3">
        <v>1992</v>
      </c>
      <c r="H239" s="3">
        <v>0.20026206999999999</v>
      </c>
      <c r="I239" s="3" t="s">
        <v>18</v>
      </c>
      <c r="J239" s="3"/>
      <c r="K239" s="3">
        <v>23.651824999999999</v>
      </c>
      <c r="L239" s="3">
        <v>1992</v>
      </c>
      <c r="M239" s="3">
        <v>-0.23554038999999999</v>
      </c>
      <c r="N239" s="3" t="s">
        <v>18</v>
      </c>
    </row>
    <row r="240" spans="1:14" x14ac:dyDescent="0.3">
      <c r="A240" s="3">
        <v>26.458292</v>
      </c>
      <c r="B240" s="3">
        <v>1993</v>
      </c>
      <c r="C240" s="3">
        <v>-0.12028121999999999</v>
      </c>
      <c r="D240" s="3" t="s">
        <v>18</v>
      </c>
      <c r="E240" s="3"/>
      <c r="F240" s="3">
        <v>29.022580000000001</v>
      </c>
      <c r="G240" s="3">
        <v>1993</v>
      </c>
      <c r="H240" s="3">
        <v>-0.2471962</v>
      </c>
      <c r="I240" s="3" t="s">
        <v>18</v>
      </c>
      <c r="J240" s="3"/>
      <c r="K240" s="3">
        <v>23.894048999999999</v>
      </c>
      <c r="L240" s="3">
        <v>1993</v>
      </c>
      <c r="M240" s="3">
        <v>6.6833496000000001E-3</v>
      </c>
      <c r="N240" s="3" t="s">
        <v>18</v>
      </c>
    </row>
    <row r="241" spans="1:14" x14ac:dyDescent="0.3">
      <c r="A241" s="3">
        <v>26.150637</v>
      </c>
      <c r="B241" s="3">
        <v>1994</v>
      </c>
      <c r="C241" s="3">
        <v>-0.42793655000000003</v>
      </c>
      <c r="D241" s="3" t="s">
        <v>18</v>
      </c>
      <c r="E241" s="3"/>
      <c r="F241" s="3">
        <v>28.815591999999999</v>
      </c>
      <c r="G241" s="3">
        <v>1994</v>
      </c>
      <c r="H241" s="3">
        <v>-0.45418357999999998</v>
      </c>
      <c r="I241" s="3" t="s">
        <v>18</v>
      </c>
      <c r="J241" s="3"/>
      <c r="K241" s="3">
        <v>23.485658999999998</v>
      </c>
      <c r="L241" s="3">
        <v>1994</v>
      </c>
      <c r="M241" s="3">
        <v>-0.40170670000000003</v>
      </c>
      <c r="N241" s="3" t="s">
        <v>18</v>
      </c>
    </row>
    <row r="242" spans="1:14" x14ac:dyDescent="0.3">
      <c r="A242" s="3">
        <v>26.300225999999999</v>
      </c>
      <c r="B242" s="3">
        <v>1995</v>
      </c>
      <c r="C242" s="3">
        <v>-0.27834702</v>
      </c>
      <c r="D242" s="3" t="s">
        <v>18</v>
      </c>
      <c r="E242" s="3"/>
      <c r="F242" s="3">
        <v>28.961758</v>
      </c>
      <c r="G242" s="3">
        <v>1995</v>
      </c>
      <c r="H242" s="3">
        <v>-0.30801772999999999</v>
      </c>
      <c r="I242" s="3" t="s">
        <v>18</v>
      </c>
      <c r="J242" s="3"/>
      <c r="K242" s="3">
        <v>23.638656999999998</v>
      </c>
      <c r="L242" s="3">
        <v>1995</v>
      </c>
      <c r="M242" s="3">
        <v>-0.24870871999999999</v>
      </c>
      <c r="N242" s="3" t="s">
        <v>18</v>
      </c>
    </row>
    <row r="243" spans="1:14" x14ac:dyDescent="0.3">
      <c r="A243" s="3">
        <v>26.020508</v>
      </c>
      <c r="B243" s="3">
        <v>1996</v>
      </c>
      <c r="C243" s="3">
        <v>-0.55806540000000004</v>
      </c>
      <c r="D243" s="3" t="s">
        <v>18</v>
      </c>
      <c r="E243" s="3"/>
      <c r="F243" s="3">
        <v>28.544070000000001</v>
      </c>
      <c r="G243" s="3">
        <v>1996</v>
      </c>
      <c r="H243" s="3">
        <v>-0.72570610000000002</v>
      </c>
      <c r="I243" s="3" t="s">
        <v>18</v>
      </c>
      <c r="J243" s="3"/>
      <c r="K243" s="3">
        <v>23.496953999999999</v>
      </c>
      <c r="L243" s="3">
        <v>1996</v>
      </c>
      <c r="M243" s="3">
        <v>-0.39041137999999997</v>
      </c>
      <c r="N243" s="3" t="s">
        <v>18</v>
      </c>
    </row>
    <row r="244" spans="1:14" x14ac:dyDescent="0.3">
      <c r="A244" s="3">
        <v>26.420197999999999</v>
      </c>
      <c r="B244" s="3">
        <v>1997</v>
      </c>
      <c r="C244" s="3">
        <v>-0.15837478999999999</v>
      </c>
      <c r="D244" s="3" t="s">
        <v>18</v>
      </c>
      <c r="E244" s="3"/>
      <c r="F244" s="3">
        <v>29.119769999999999</v>
      </c>
      <c r="G244" s="3">
        <v>1997</v>
      </c>
      <c r="H244" s="3">
        <v>-0.15000533999999999</v>
      </c>
      <c r="I244" s="3" t="s">
        <v>18</v>
      </c>
      <c r="J244" s="3"/>
      <c r="K244" s="3">
        <v>23.720659999999999</v>
      </c>
      <c r="L244" s="3">
        <v>1997</v>
      </c>
      <c r="M244" s="3">
        <v>-0.16670609</v>
      </c>
      <c r="N244" s="3" t="s">
        <v>18</v>
      </c>
    </row>
    <row r="245" spans="1:14" x14ac:dyDescent="0.3">
      <c r="A245" s="3">
        <v>26.768384999999999</v>
      </c>
      <c r="B245" s="3">
        <v>1998</v>
      </c>
      <c r="C245" s="3">
        <v>0.1898117</v>
      </c>
      <c r="D245" s="3" t="s">
        <v>18</v>
      </c>
      <c r="E245" s="3"/>
      <c r="F245" s="3">
        <v>29.531207999999999</v>
      </c>
      <c r="G245" s="3">
        <v>1998</v>
      </c>
      <c r="H245" s="3">
        <v>0.26143264999999999</v>
      </c>
      <c r="I245" s="3" t="s">
        <v>18</v>
      </c>
      <c r="J245" s="3"/>
      <c r="K245" s="3">
        <v>24.005585</v>
      </c>
      <c r="L245" s="3">
        <v>1998</v>
      </c>
      <c r="M245" s="3">
        <v>0.118219376</v>
      </c>
      <c r="N245" s="3" t="s">
        <v>18</v>
      </c>
    </row>
    <row r="246" spans="1:14" x14ac:dyDescent="0.3">
      <c r="A246" s="3">
        <v>25.899359</v>
      </c>
      <c r="B246" s="3">
        <v>1999</v>
      </c>
      <c r="C246" s="3">
        <v>-0.67921450000000005</v>
      </c>
      <c r="D246" s="3" t="s">
        <v>18</v>
      </c>
      <c r="E246" s="3"/>
      <c r="F246" s="3">
        <v>28.558513999999999</v>
      </c>
      <c r="G246" s="3">
        <v>1999</v>
      </c>
      <c r="H246" s="3">
        <v>-0.71126175000000003</v>
      </c>
      <c r="I246" s="3" t="s">
        <v>18</v>
      </c>
      <c r="J246" s="3"/>
      <c r="K246" s="3">
        <v>23.240169999999999</v>
      </c>
      <c r="L246" s="3">
        <v>1999</v>
      </c>
      <c r="M246" s="3">
        <v>-0.64719579999999999</v>
      </c>
      <c r="N246" s="3" t="s">
        <v>18</v>
      </c>
    </row>
    <row r="247" spans="1:14" x14ac:dyDescent="0.3">
      <c r="A247" s="3">
        <v>26.068829000000001</v>
      </c>
      <c r="B247" s="3">
        <v>2000</v>
      </c>
      <c r="C247" s="3">
        <v>-0.50974463999999997</v>
      </c>
      <c r="D247" s="3" t="s">
        <v>18</v>
      </c>
      <c r="E247" s="3"/>
      <c r="F247" s="3">
        <v>28.794262</v>
      </c>
      <c r="G247" s="3">
        <v>2000</v>
      </c>
      <c r="H247" s="3">
        <v>-0.47551346</v>
      </c>
      <c r="I247" s="3" t="s">
        <v>18</v>
      </c>
      <c r="J247" s="3"/>
      <c r="K247" s="3">
        <v>23.343381999999998</v>
      </c>
      <c r="L247" s="3">
        <v>2000</v>
      </c>
      <c r="M247" s="3">
        <v>-0.54398345999999997</v>
      </c>
      <c r="N247" s="3" t="s">
        <v>18</v>
      </c>
    </row>
    <row r="248" spans="1:14" x14ac:dyDescent="0.3">
      <c r="A248" s="3">
        <v>26.264749999999999</v>
      </c>
      <c r="B248" s="3">
        <v>2001</v>
      </c>
      <c r="C248" s="3">
        <v>-0.31382369999999998</v>
      </c>
      <c r="D248" s="3" t="s">
        <v>18</v>
      </c>
      <c r="E248" s="3"/>
      <c r="F248" s="3">
        <v>29.220558</v>
      </c>
      <c r="G248" s="3">
        <v>2001</v>
      </c>
      <c r="H248" s="3">
        <v>-4.9217223999999997E-2</v>
      </c>
      <c r="I248" s="3" t="s">
        <v>18</v>
      </c>
      <c r="J248" s="3"/>
      <c r="K248" s="3">
        <v>23.308907999999999</v>
      </c>
      <c r="L248" s="3">
        <v>2001</v>
      </c>
      <c r="M248" s="3">
        <v>-0.57845690000000005</v>
      </c>
      <c r="N248" s="3" t="s">
        <v>18</v>
      </c>
    </row>
    <row r="249" spans="1:14" x14ac:dyDescent="0.3">
      <c r="A249" s="3">
        <v>26.499804000000001</v>
      </c>
      <c r="B249" s="3">
        <v>2002</v>
      </c>
      <c r="C249" s="3">
        <v>-7.8769684000000006E-2</v>
      </c>
      <c r="D249" s="3" t="s">
        <v>18</v>
      </c>
      <c r="E249" s="3"/>
      <c r="F249" s="3">
        <v>29.396183000000001</v>
      </c>
      <c r="G249" s="3">
        <v>2002</v>
      </c>
      <c r="H249" s="3">
        <v>0.12640762</v>
      </c>
      <c r="I249" s="3" t="s">
        <v>18</v>
      </c>
      <c r="J249" s="3"/>
      <c r="K249" s="3">
        <v>23.603441</v>
      </c>
      <c r="L249" s="3">
        <v>2002</v>
      </c>
      <c r="M249" s="3">
        <v>-0.28392410000000001</v>
      </c>
      <c r="N249" s="3" t="s">
        <v>18</v>
      </c>
    </row>
    <row r="250" spans="1:14" x14ac:dyDescent="0.3">
      <c r="A250" s="3">
        <v>26.106529999999999</v>
      </c>
      <c r="B250" s="3">
        <v>2003</v>
      </c>
      <c r="C250" s="3">
        <v>-0.47204400000000002</v>
      </c>
      <c r="D250" s="3" t="s">
        <v>18</v>
      </c>
      <c r="E250" s="3"/>
      <c r="F250" s="3">
        <v>28.655290000000001</v>
      </c>
      <c r="G250" s="3">
        <v>2003</v>
      </c>
      <c r="H250" s="3">
        <v>-0.61448480000000005</v>
      </c>
      <c r="I250" s="3" t="s">
        <v>18</v>
      </c>
      <c r="J250" s="3"/>
      <c r="K250" s="3">
        <v>23.557758</v>
      </c>
      <c r="L250" s="3">
        <v>2003</v>
      </c>
      <c r="M250" s="3">
        <v>-0.32960699999999998</v>
      </c>
      <c r="N250" s="3" t="s">
        <v>18</v>
      </c>
    </row>
    <row r="251" spans="1:14" x14ac:dyDescent="0.3">
      <c r="A251" s="3">
        <v>26.647749999999998</v>
      </c>
      <c r="B251" s="3">
        <v>2004</v>
      </c>
      <c r="C251" s="3">
        <v>6.9177630000000004E-2</v>
      </c>
      <c r="D251" s="3" t="s">
        <v>18</v>
      </c>
      <c r="E251" s="3"/>
      <c r="F251" s="3">
        <v>29.192730000000001</v>
      </c>
      <c r="G251" s="3">
        <v>2004</v>
      </c>
      <c r="H251" s="3">
        <v>-7.7045440000000007E-2</v>
      </c>
      <c r="I251" s="3" t="s">
        <v>18</v>
      </c>
      <c r="J251" s="3"/>
      <c r="K251" s="3">
        <v>24.102743</v>
      </c>
      <c r="L251" s="3">
        <v>2004</v>
      </c>
      <c r="M251" s="3">
        <v>0.21537781</v>
      </c>
      <c r="N251" s="3" t="s">
        <v>18</v>
      </c>
    </row>
    <row r="252" spans="1:14" x14ac:dyDescent="0.3">
      <c r="A252" s="3">
        <v>26.818909000000001</v>
      </c>
      <c r="B252" s="3">
        <v>2005</v>
      </c>
      <c r="C252" s="3">
        <v>0.24033546</v>
      </c>
      <c r="D252" s="3" t="s">
        <v>18</v>
      </c>
      <c r="E252" s="3"/>
      <c r="F252" s="3">
        <v>29.488104</v>
      </c>
      <c r="G252" s="3">
        <v>2005</v>
      </c>
      <c r="H252" s="3">
        <v>0.21832847999999999</v>
      </c>
      <c r="I252" s="3" t="s">
        <v>18</v>
      </c>
      <c r="J252" s="3"/>
      <c r="K252" s="3">
        <v>24.149704</v>
      </c>
      <c r="L252" s="3">
        <v>2005</v>
      </c>
      <c r="M252" s="3">
        <v>0.26233864000000001</v>
      </c>
      <c r="N252" s="3" t="s">
        <v>18</v>
      </c>
    </row>
    <row r="253" spans="1:14" x14ac:dyDescent="0.3">
      <c r="A253" s="3">
        <v>26.626127</v>
      </c>
      <c r="B253" s="3">
        <v>2006</v>
      </c>
      <c r="C253" s="3">
        <v>4.7554015999999998E-2</v>
      </c>
      <c r="D253" s="3" t="s">
        <v>18</v>
      </c>
      <c r="E253" s="3"/>
      <c r="F253" s="3">
        <v>29.276869999999999</v>
      </c>
      <c r="G253" s="3">
        <v>2006</v>
      </c>
      <c r="H253" s="3">
        <v>7.0953370000000002E-3</v>
      </c>
      <c r="I253" s="3" t="s">
        <v>18</v>
      </c>
      <c r="J253" s="3"/>
      <c r="K253" s="3">
        <v>23.975372</v>
      </c>
      <c r="L253" s="3">
        <v>2006</v>
      </c>
      <c r="M253" s="3">
        <v>8.8006970000000004E-2</v>
      </c>
      <c r="N253" s="3" t="s">
        <v>18</v>
      </c>
    </row>
    <row r="254" spans="1:14" x14ac:dyDescent="0.3">
      <c r="A254" s="3">
        <v>26.59355</v>
      </c>
      <c r="B254" s="3">
        <v>2007</v>
      </c>
      <c r="C254" s="3">
        <v>1.4976501E-2</v>
      </c>
      <c r="D254" s="3" t="s">
        <v>18</v>
      </c>
      <c r="E254" s="3"/>
      <c r="F254" s="3">
        <v>29.232924000000001</v>
      </c>
      <c r="G254" s="3">
        <v>2007</v>
      </c>
      <c r="H254" s="3">
        <v>-3.6851883000000002E-2</v>
      </c>
      <c r="I254" s="3" t="s">
        <v>18</v>
      </c>
      <c r="J254" s="3"/>
      <c r="K254" s="3">
        <v>23.954205000000002</v>
      </c>
      <c r="L254" s="3">
        <v>2007</v>
      </c>
      <c r="M254" s="3">
        <v>6.6839220000000005E-2</v>
      </c>
      <c r="N254" s="3" t="s">
        <v>18</v>
      </c>
    </row>
    <row r="255" spans="1:14" x14ac:dyDescent="0.3">
      <c r="A255" s="3">
        <v>26.393787</v>
      </c>
      <c r="B255" s="3">
        <v>2008</v>
      </c>
      <c r="C255" s="3">
        <v>-0.18478584000000001</v>
      </c>
      <c r="D255" s="3" t="s">
        <v>18</v>
      </c>
      <c r="E255" s="3"/>
      <c r="F255" s="3">
        <v>29.075482999999998</v>
      </c>
      <c r="G255" s="3">
        <v>2008</v>
      </c>
      <c r="H255" s="3">
        <v>-0.19429207000000001</v>
      </c>
      <c r="I255" s="3" t="s">
        <v>18</v>
      </c>
      <c r="J255" s="3"/>
      <c r="K255" s="3">
        <v>23.712136999999998</v>
      </c>
      <c r="L255" s="3">
        <v>2008</v>
      </c>
      <c r="M255" s="3">
        <v>-0.17522811999999999</v>
      </c>
      <c r="N255" s="3" t="s">
        <v>18</v>
      </c>
    </row>
    <row r="256" spans="1:14" x14ac:dyDescent="0.3">
      <c r="A256" s="3">
        <v>26.654800000000002</v>
      </c>
      <c r="B256" s="3">
        <v>2009</v>
      </c>
      <c r="C256" s="3">
        <v>7.622719E-2</v>
      </c>
      <c r="D256" s="3" t="s">
        <v>18</v>
      </c>
      <c r="E256" s="3"/>
      <c r="F256" s="3">
        <v>29.396426999999999</v>
      </c>
      <c r="G256" s="3">
        <v>2009</v>
      </c>
      <c r="H256" s="3">
        <v>0.12665176</v>
      </c>
      <c r="I256" s="3" t="s">
        <v>18</v>
      </c>
      <c r="J256" s="3"/>
      <c r="K256" s="3">
        <v>23.913146999999999</v>
      </c>
      <c r="L256" s="3">
        <v>2009</v>
      </c>
      <c r="M256" s="3">
        <v>2.5781630999999999E-2</v>
      </c>
      <c r="N256" s="3" t="s">
        <v>18</v>
      </c>
    </row>
    <row r="257" spans="1:14" x14ac:dyDescent="0.3">
      <c r="A257" s="3">
        <v>26.762995</v>
      </c>
      <c r="B257" s="3">
        <v>2010</v>
      </c>
      <c r="C257" s="3">
        <v>0.18442153999999999</v>
      </c>
      <c r="D257" s="3" t="s">
        <v>18</v>
      </c>
      <c r="E257" s="3"/>
      <c r="F257" s="3">
        <v>29.318377999999999</v>
      </c>
      <c r="G257" s="3">
        <v>2010</v>
      </c>
      <c r="H257" s="3">
        <v>4.8603057999999998E-2</v>
      </c>
      <c r="I257" s="3" t="s">
        <v>18</v>
      </c>
      <c r="J257" s="3"/>
      <c r="K257" s="3">
        <v>24.207574999999999</v>
      </c>
      <c r="L257" s="3">
        <v>2010</v>
      </c>
      <c r="M257" s="3">
        <v>0.32020949999999998</v>
      </c>
      <c r="N257" s="3" t="s">
        <v>18</v>
      </c>
    </row>
    <row r="258" spans="1:14" x14ac:dyDescent="0.3">
      <c r="A258" s="3">
        <v>26.8369</v>
      </c>
      <c r="B258" s="3">
        <v>2011</v>
      </c>
      <c r="C258" s="3">
        <v>0.25832748</v>
      </c>
      <c r="D258" s="3" t="s">
        <v>18</v>
      </c>
      <c r="E258" s="3"/>
      <c r="F258" s="3">
        <v>29.527249999999999</v>
      </c>
      <c r="G258" s="3">
        <v>2011</v>
      </c>
      <c r="H258" s="3">
        <v>0.25747490000000001</v>
      </c>
      <c r="I258" s="3" t="s">
        <v>18</v>
      </c>
      <c r="J258" s="3"/>
      <c r="K258" s="3">
        <v>24.146509999999999</v>
      </c>
      <c r="L258" s="3">
        <v>2011</v>
      </c>
      <c r="M258" s="3">
        <v>0.25914383000000002</v>
      </c>
      <c r="N258" s="3" t="s">
        <v>18</v>
      </c>
    </row>
    <row r="259" spans="1:14" x14ac:dyDescent="0.3">
      <c r="A259" s="3">
        <v>26.821950000000001</v>
      </c>
      <c r="B259" s="3">
        <v>2012</v>
      </c>
      <c r="C259" s="3">
        <v>0.24337769000000001</v>
      </c>
      <c r="D259" s="3" t="s">
        <v>18</v>
      </c>
      <c r="E259" s="3"/>
      <c r="F259" s="3">
        <v>29.697389999999999</v>
      </c>
      <c r="G259" s="3">
        <v>2012</v>
      </c>
      <c r="H259" s="3">
        <v>0.4276142</v>
      </c>
      <c r="I259" s="3" t="s">
        <v>18</v>
      </c>
      <c r="J259" s="3"/>
      <c r="K259" s="3">
        <v>23.946536999999999</v>
      </c>
      <c r="L259" s="3">
        <v>2012</v>
      </c>
      <c r="M259" s="3">
        <v>5.9171676999999999E-2</v>
      </c>
      <c r="N259" s="3" t="s">
        <v>18</v>
      </c>
    </row>
    <row r="260" spans="1:14" x14ac:dyDescent="0.3">
      <c r="A260" s="3">
        <v>26.731905000000001</v>
      </c>
      <c r="B260" s="3">
        <v>2013</v>
      </c>
      <c r="C260" s="3">
        <v>0.15333176000000001</v>
      </c>
      <c r="D260" s="3" t="s">
        <v>18</v>
      </c>
      <c r="E260" s="3"/>
      <c r="F260" s="3">
        <v>29.450559999999999</v>
      </c>
      <c r="G260" s="3">
        <v>2013</v>
      </c>
      <c r="H260" s="3">
        <v>0.18078422999999999</v>
      </c>
      <c r="I260" s="3" t="s">
        <v>18</v>
      </c>
      <c r="J260" s="3"/>
      <c r="K260" s="3">
        <v>24.013252000000001</v>
      </c>
      <c r="L260" s="3">
        <v>2013</v>
      </c>
      <c r="M260" s="3">
        <v>0.12588692000000001</v>
      </c>
      <c r="N260" s="3" t="s">
        <v>18</v>
      </c>
    </row>
    <row r="261" spans="1:14" x14ac:dyDescent="0.3">
      <c r="A261" s="3">
        <v>27.061962000000001</v>
      </c>
      <c r="B261" s="3">
        <v>2014</v>
      </c>
      <c r="C261" s="3">
        <v>0.48338890000000001</v>
      </c>
      <c r="D261" s="3" t="s">
        <v>18</v>
      </c>
      <c r="E261" s="3"/>
      <c r="F261" s="3">
        <v>29.704173999999998</v>
      </c>
      <c r="G261" s="3">
        <v>2014</v>
      </c>
      <c r="H261" s="3">
        <v>0.43439865</v>
      </c>
      <c r="I261" s="3" t="s">
        <v>18</v>
      </c>
      <c r="J261" s="3"/>
      <c r="K261" s="3">
        <v>24.419737000000001</v>
      </c>
      <c r="L261" s="3">
        <v>2014</v>
      </c>
      <c r="M261" s="3">
        <v>0.5323715</v>
      </c>
      <c r="N261" s="3" t="s">
        <v>18</v>
      </c>
    </row>
    <row r="262" spans="1:14" x14ac:dyDescent="0.3">
      <c r="A262" s="3">
        <v>27.363738999999999</v>
      </c>
      <c r="B262" s="3">
        <v>2015</v>
      </c>
      <c r="C262" s="3">
        <v>0.78516580000000002</v>
      </c>
      <c r="D262" s="3" t="s">
        <v>18</v>
      </c>
      <c r="E262" s="3"/>
      <c r="F262" s="3">
        <v>30.193242999999999</v>
      </c>
      <c r="G262" s="3">
        <v>2015</v>
      </c>
      <c r="H262" s="3">
        <v>0.92346764000000003</v>
      </c>
      <c r="I262" s="3" t="s">
        <v>18</v>
      </c>
      <c r="J262" s="3"/>
      <c r="K262" s="3">
        <v>24.53424</v>
      </c>
      <c r="L262" s="3">
        <v>2015</v>
      </c>
      <c r="M262" s="3">
        <v>0.64687539999999999</v>
      </c>
      <c r="N262" s="3" t="s">
        <v>18</v>
      </c>
    </row>
    <row r="263" spans="1:14" x14ac:dyDescent="0.3">
      <c r="A263" s="3">
        <v>26.825882</v>
      </c>
      <c r="B263" s="3">
        <v>2016</v>
      </c>
      <c r="C263" s="3">
        <v>0.24730873</v>
      </c>
      <c r="D263" s="3" t="s">
        <v>18</v>
      </c>
      <c r="E263" s="3"/>
      <c r="F263" s="3">
        <v>29.680924999999998</v>
      </c>
      <c r="G263" s="3">
        <v>2016</v>
      </c>
      <c r="H263" s="3">
        <v>0.41114998000000003</v>
      </c>
      <c r="I263" s="3" t="s">
        <v>18</v>
      </c>
      <c r="J263" s="3"/>
      <c r="K263" s="3">
        <v>23.97081</v>
      </c>
      <c r="L263" s="3">
        <v>2016</v>
      </c>
      <c r="M263" s="3">
        <v>8.3444594999999996E-2</v>
      </c>
      <c r="N263" s="3" t="s">
        <v>18</v>
      </c>
    </row>
    <row r="264" spans="1:14" x14ac:dyDescent="0.3">
      <c r="A264" s="3">
        <v>26.857399000000001</v>
      </c>
      <c r="B264" s="3">
        <v>2017</v>
      </c>
      <c r="C264" s="3">
        <v>0.27882575999999998</v>
      </c>
      <c r="D264" s="3" t="s">
        <v>18</v>
      </c>
      <c r="E264" s="3"/>
      <c r="F264" s="3">
        <v>29.517948000000001</v>
      </c>
      <c r="G264" s="3">
        <v>2017</v>
      </c>
      <c r="H264" s="3">
        <v>0.24817275999999999</v>
      </c>
      <c r="I264" s="3" t="s">
        <v>18</v>
      </c>
      <c r="J264" s="3"/>
      <c r="K264" s="3">
        <v>24.196864999999999</v>
      </c>
      <c r="L264" s="3">
        <v>2017</v>
      </c>
      <c r="M264" s="3">
        <v>0.30949974000000002</v>
      </c>
      <c r="N264" s="3" t="s">
        <v>18</v>
      </c>
    </row>
    <row r="265" spans="1:14" x14ac:dyDescent="0.3">
      <c r="A265" s="3">
        <v>26.651983000000001</v>
      </c>
      <c r="B265" s="3">
        <v>2018</v>
      </c>
      <c r="C265" s="3">
        <v>7.3410033999999999E-2</v>
      </c>
      <c r="D265" s="3" t="s">
        <v>18</v>
      </c>
      <c r="E265" s="3"/>
      <c r="F265" s="3">
        <v>29.261122</v>
      </c>
      <c r="G265" s="3">
        <v>2018</v>
      </c>
      <c r="H265" s="3">
        <v>-8.6536410000000001E-3</v>
      </c>
      <c r="I265" s="3" t="s">
        <v>18</v>
      </c>
      <c r="J265" s="3"/>
      <c r="K265" s="3">
        <v>24.042812000000001</v>
      </c>
      <c r="L265" s="3">
        <v>2018</v>
      </c>
      <c r="M265" s="3">
        <v>0.155447</v>
      </c>
      <c r="N265" s="3" t="s">
        <v>18</v>
      </c>
    </row>
    <row r="266" spans="1:14" x14ac:dyDescent="0.3">
      <c r="A266" s="3">
        <v>27.097867999999998</v>
      </c>
      <c r="B266" s="3">
        <v>2019</v>
      </c>
      <c r="C266" s="3">
        <v>0.51929473999999998</v>
      </c>
      <c r="D266" s="3" t="s">
        <v>18</v>
      </c>
      <c r="E266" s="3"/>
      <c r="F266" s="3">
        <v>29.745014000000001</v>
      </c>
      <c r="G266" s="3">
        <v>2019</v>
      </c>
      <c r="H266" s="3">
        <v>0.47523880000000002</v>
      </c>
      <c r="I266" s="3" t="s">
        <v>18</v>
      </c>
      <c r="J266" s="3"/>
      <c r="K266" s="3">
        <v>24.450731000000001</v>
      </c>
      <c r="L266" s="3">
        <v>2019</v>
      </c>
      <c r="M266" s="3">
        <v>0.56336593999999995</v>
      </c>
      <c r="N266" s="3" t="s">
        <v>18</v>
      </c>
    </row>
    <row r="267" spans="1:14" x14ac:dyDescent="0.3">
      <c r="A267" s="3">
        <v>26.713971999999998</v>
      </c>
      <c r="B267" s="3">
        <v>2020</v>
      </c>
      <c r="C267" s="3">
        <v>0.13539886000000001</v>
      </c>
      <c r="D267" s="3" t="s">
        <v>18</v>
      </c>
      <c r="E267" s="3"/>
      <c r="F267" s="3">
        <v>29.319918000000001</v>
      </c>
      <c r="G267" s="3">
        <v>2020</v>
      </c>
      <c r="H267" s="3">
        <v>5.0142289999999999E-2</v>
      </c>
      <c r="I267" s="3" t="s">
        <v>18</v>
      </c>
      <c r="J267" s="3"/>
      <c r="K267" s="3">
        <v>24.108028000000001</v>
      </c>
      <c r="L267" s="3">
        <v>2020</v>
      </c>
      <c r="M267" s="3">
        <v>0.22066306999999999</v>
      </c>
      <c r="N267" s="3" t="s">
        <v>18</v>
      </c>
    </row>
    <row r="268" spans="1:14" x14ac:dyDescent="0.3">
      <c r="A268" s="3">
        <v>26.401339</v>
      </c>
      <c r="B268" s="3">
        <v>2021</v>
      </c>
      <c r="C268" s="3">
        <v>-0.17723464999999999</v>
      </c>
      <c r="D268" s="3" t="s">
        <v>18</v>
      </c>
      <c r="E268" s="3"/>
      <c r="F268" s="3">
        <v>29.100286000000001</v>
      </c>
      <c r="G268" s="3">
        <v>2021</v>
      </c>
      <c r="H268" s="3">
        <v>-0.1694889</v>
      </c>
      <c r="I268" s="3" t="s">
        <v>18</v>
      </c>
      <c r="J268" s="3"/>
      <c r="K268" s="3">
        <v>23.702401999999999</v>
      </c>
      <c r="L268" s="3">
        <v>2021</v>
      </c>
      <c r="M268" s="3">
        <v>-0.18496323000000001</v>
      </c>
      <c r="N268" s="3" t="s">
        <v>18</v>
      </c>
    </row>
    <row r="269" spans="1:14" x14ac:dyDescent="0.3">
      <c r="A269" s="3">
        <v>26.104939000000002</v>
      </c>
      <c r="B269" s="3">
        <v>2022</v>
      </c>
      <c r="C269" s="3">
        <v>-0.47363472000000001</v>
      </c>
      <c r="D269" s="3" t="s">
        <v>18</v>
      </c>
      <c r="E269" s="3"/>
      <c r="F269" s="3">
        <v>28.616861</v>
      </c>
      <c r="G269" s="3">
        <v>2022</v>
      </c>
      <c r="H269" s="3">
        <v>-0.65291405000000002</v>
      </c>
      <c r="I269" s="3" t="s">
        <v>18</v>
      </c>
      <c r="J269" s="3"/>
      <c r="K269" s="3">
        <v>23.59299</v>
      </c>
      <c r="L269" s="3">
        <v>2022</v>
      </c>
      <c r="M269" s="3">
        <v>-0.29437447</v>
      </c>
      <c r="N269" s="3" t="s">
        <v>18</v>
      </c>
    </row>
    <row r="270" spans="1:14" x14ac:dyDescent="0.3">
      <c r="A270" s="3">
        <v>27.262187999999998</v>
      </c>
      <c r="B270" s="3">
        <v>2023</v>
      </c>
      <c r="C270" s="3">
        <v>0.68361472999999995</v>
      </c>
      <c r="D270" s="3" t="s">
        <v>18</v>
      </c>
      <c r="E270" s="3"/>
      <c r="F270" s="3">
        <v>30.080786</v>
      </c>
      <c r="G270" s="3">
        <v>2023</v>
      </c>
      <c r="H270" s="3">
        <v>0.81101036000000004</v>
      </c>
      <c r="I270" s="3" t="s">
        <v>18</v>
      </c>
      <c r="J270" s="3"/>
      <c r="K270" s="3">
        <v>24.443636000000001</v>
      </c>
      <c r="L270" s="3">
        <v>2023</v>
      </c>
      <c r="M270" s="3">
        <v>0.55627059999999995</v>
      </c>
      <c r="N270" s="3" t="s">
        <v>18</v>
      </c>
    </row>
    <row r="271" spans="1:14" x14ac:dyDescent="0.3">
      <c r="A271" s="3">
        <v>26.962105000000001</v>
      </c>
      <c r="B271" s="3">
        <v>2024</v>
      </c>
      <c r="C271" s="3">
        <v>0.38353156999999999</v>
      </c>
      <c r="D271" s="3" t="s">
        <v>18</v>
      </c>
      <c r="E271" s="3"/>
      <c r="F271" s="3">
        <v>29.37603</v>
      </c>
      <c r="G271" s="3">
        <v>2024</v>
      </c>
      <c r="H271" s="3">
        <v>0.10625458</v>
      </c>
      <c r="I271" s="3" t="s">
        <v>18</v>
      </c>
      <c r="J271" s="3"/>
      <c r="K271" s="3">
        <v>24.548172000000001</v>
      </c>
      <c r="L271" s="3">
        <v>2024</v>
      </c>
      <c r="M271" s="3">
        <v>0.66080665999999999</v>
      </c>
      <c r="N271" s="3" t="s">
        <v>18</v>
      </c>
    </row>
    <row r="272" spans="1:14" x14ac:dyDescent="0.3">
      <c r="A272" s="3">
        <v>26.610150999999998</v>
      </c>
      <c r="B272" s="3">
        <v>2025</v>
      </c>
      <c r="C272" s="3">
        <v>3.1578064000000003E-2</v>
      </c>
      <c r="D272" s="3" t="s">
        <v>18</v>
      </c>
      <c r="E272" s="3"/>
      <c r="F272" s="3">
        <v>29.108422999999998</v>
      </c>
      <c r="G272" s="3">
        <v>2025</v>
      </c>
      <c r="H272" s="3">
        <v>-0.16135215999999999</v>
      </c>
      <c r="I272" s="3" t="s">
        <v>18</v>
      </c>
      <c r="J272" s="3"/>
      <c r="K272" s="3">
        <v>24.11187</v>
      </c>
      <c r="L272" s="3">
        <v>2025</v>
      </c>
      <c r="M272" s="3">
        <v>0.22450447000000001</v>
      </c>
      <c r="N272" s="3" t="s">
        <v>18</v>
      </c>
    </row>
    <row r="273" spans="1:14" x14ac:dyDescent="0.3">
      <c r="A273" s="3">
        <v>26.099647999999998</v>
      </c>
      <c r="B273" s="3">
        <v>1981</v>
      </c>
      <c r="C273" s="3">
        <v>-0.58580019999999999</v>
      </c>
      <c r="D273" s="3" t="s">
        <v>19</v>
      </c>
      <c r="E273" s="3"/>
      <c r="F273" s="3">
        <v>28.689299999999999</v>
      </c>
      <c r="G273" s="3">
        <v>1981</v>
      </c>
      <c r="H273" s="3">
        <v>-0.70922470000000004</v>
      </c>
      <c r="I273" s="3" t="s">
        <v>19</v>
      </c>
      <c r="J273" s="3"/>
      <c r="K273" s="3">
        <v>23.509995</v>
      </c>
      <c r="L273" s="3">
        <v>1981</v>
      </c>
      <c r="M273" s="3">
        <v>-0.462368</v>
      </c>
      <c r="N273" s="3" t="s">
        <v>19</v>
      </c>
    </row>
    <row r="274" spans="1:14" x14ac:dyDescent="0.3">
      <c r="A274" s="3">
        <v>26.329708</v>
      </c>
      <c r="B274" s="3">
        <v>1982</v>
      </c>
      <c r="C274" s="3">
        <v>-0.35573959999999999</v>
      </c>
      <c r="D274" s="3" t="s">
        <v>19</v>
      </c>
      <c r="E274" s="3"/>
      <c r="F274" s="3">
        <v>28.951998</v>
      </c>
      <c r="G274" s="3">
        <v>1982</v>
      </c>
      <c r="H274" s="3">
        <v>-0.44652747999999998</v>
      </c>
      <c r="I274" s="3" t="s">
        <v>19</v>
      </c>
      <c r="J274" s="3"/>
      <c r="K274" s="3">
        <v>23.707419999999999</v>
      </c>
      <c r="L274" s="3">
        <v>1982</v>
      </c>
      <c r="M274" s="3">
        <v>-0.26494216999999998</v>
      </c>
      <c r="N274" s="3" t="s">
        <v>19</v>
      </c>
    </row>
    <row r="275" spans="1:14" x14ac:dyDescent="0.3">
      <c r="A275" s="3">
        <v>26.784583999999999</v>
      </c>
      <c r="B275" s="3">
        <v>1983</v>
      </c>
      <c r="C275" s="3">
        <v>9.9136349999999998E-2</v>
      </c>
      <c r="D275" s="3" t="s">
        <v>19</v>
      </c>
      <c r="E275" s="3"/>
      <c r="F275" s="3">
        <v>29.440435000000001</v>
      </c>
      <c r="G275" s="3">
        <v>1983</v>
      </c>
      <c r="H275" s="3">
        <v>4.1910169999999997E-2</v>
      </c>
      <c r="I275" s="3" t="s">
        <v>19</v>
      </c>
      <c r="J275" s="3"/>
      <c r="K275" s="3">
        <v>24.128727000000001</v>
      </c>
      <c r="L275" s="3">
        <v>1983</v>
      </c>
      <c r="M275" s="3">
        <v>0.15636443999999999</v>
      </c>
      <c r="N275" s="3" t="s">
        <v>19</v>
      </c>
    </row>
    <row r="276" spans="1:14" x14ac:dyDescent="0.3">
      <c r="A276" s="3">
        <v>25.552591</v>
      </c>
      <c r="B276" s="3">
        <v>1984</v>
      </c>
      <c r="C276" s="3">
        <v>-1.1328564000000001</v>
      </c>
      <c r="D276" s="3" t="s">
        <v>19</v>
      </c>
      <c r="E276" s="3"/>
      <c r="F276" s="3">
        <v>28.202197999999999</v>
      </c>
      <c r="G276" s="3">
        <v>1984</v>
      </c>
      <c r="H276" s="3">
        <v>-1.1963272</v>
      </c>
      <c r="I276" s="3" t="s">
        <v>19</v>
      </c>
      <c r="J276" s="3"/>
      <c r="K276" s="3">
        <v>22.902992000000001</v>
      </c>
      <c r="L276" s="3">
        <v>1984</v>
      </c>
      <c r="M276" s="3">
        <v>-1.0693703000000001</v>
      </c>
      <c r="N276" s="3" t="s">
        <v>19</v>
      </c>
    </row>
    <row r="277" spans="1:14" x14ac:dyDescent="0.3">
      <c r="A277" s="3">
        <v>25.685385</v>
      </c>
      <c r="B277" s="3">
        <v>1985</v>
      </c>
      <c r="C277" s="3">
        <v>-1.0000629999999999</v>
      </c>
      <c r="D277" s="3" t="s">
        <v>19</v>
      </c>
      <c r="E277" s="3"/>
      <c r="F277" s="3">
        <v>28.331862999999998</v>
      </c>
      <c r="G277" s="3">
        <v>1985</v>
      </c>
      <c r="H277" s="3">
        <v>-1.0666618000000001</v>
      </c>
      <c r="I277" s="3" t="s">
        <v>19</v>
      </c>
      <c r="J277" s="3"/>
      <c r="K277" s="3">
        <v>23.038902</v>
      </c>
      <c r="L277" s="3">
        <v>1985</v>
      </c>
      <c r="M277" s="3">
        <v>-0.93346024000000005</v>
      </c>
      <c r="N277" s="3" t="s">
        <v>19</v>
      </c>
    </row>
    <row r="278" spans="1:14" x14ac:dyDescent="0.3">
      <c r="A278" s="3">
        <v>26.117204999999998</v>
      </c>
      <c r="B278" s="3">
        <v>1986</v>
      </c>
      <c r="C278" s="3">
        <v>-0.56824300000000005</v>
      </c>
      <c r="D278" s="3" t="s">
        <v>19</v>
      </c>
      <c r="E278" s="3"/>
      <c r="F278" s="3">
        <v>28.823336000000001</v>
      </c>
      <c r="G278" s="3">
        <v>1986</v>
      </c>
      <c r="H278" s="3">
        <v>-0.57518959999999997</v>
      </c>
      <c r="I278" s="3" t="s">
        <v>19</v>
      </c>
      <c r="J278" s="3"/>
      <c r="K278" s="3">
        <v>23.411076999999999</v>
      </c>
      <c r="L278" s="3">
        <v>1986</v>
      </c>
      <c r="M278" s="3">
        <v>-0.56128500000000003</v>
      </c>
      <c r="N278" s="3" t="s">
        <v>19</v>
      </c>
    </row>
    <row r="279" spans="1:14" x14ac:dyDescent="0.3">
      <c r="A279" s="3">
        <v>26.690349999999999</v>
      </c>
      <c r="B279" s="3">
        <v>1987</v>
      </c>
      <c r="C279" s="3">
        <v>4.9018860000000003E-3</v>
      </c>
      <c r="D279" s="3" t="s">
        <v>19</v>
      </c>
      <c r="E279" s="3"/>
      <c r="F279" s="3">
        <v>29.317996999999998</v>
      </c>
      <c r="G279" s="3">
        <v>1987</v>
      </c>
      <c r="H279" s="3">
        <v>-8.0528260000000004E-2</v>
      </c>
      <c r="I279" s="3" t="s">
        <v>19</v>
      </c>
      <c r="J279" s="3"/>
      <c r="K279" s="3">
        <v>24.062702000000002</v>
      </c>
      <c r="L279" s="3">
        <v>1987</v>
      </c>
      <c r="M279" s="3">
        <v>9.0339660000000002E-2</v>
      </c>
      <c r="N279" s="3" t="s">
        <v>19</v>
      </c>
    </row>
    <row r="280" spans="1:14" x14ac:dyDescent="0.3">
      <c r="A280" s="3">
        <v>26.031054999999999</v>
      </c>
      <c r="B280" s="3">
        <v>1988</v>
      </c>
      <c r="C280" s="3">
        <v>-0.65439223999999996</v>
      </c>
      <c r="D280" s="3" t="s">
        <v>19</v>
      </c>
      <c r="E280" s="3"/>
      <c r="F280" s="3">
        <v>28.744440000000001</v>
      </c>
      <c r="G280" s="3">
        <v>1988</v>
      </c>
      <c r="H280" s="3">
        <v>-0.65408516000000005</v>
      </c>
      <c r="I280" s="3" t="s">
        <v>19</v>
      </c>
      <c r="J280" s="3"/>
      <c r="K280" s="3">
        <v>23.317663</v>
      </c>
      <c r="L280" s="3">
        <v>1988</v>
      </c>
      <c r="M280" s="3">
        <v>-0.65469929999999998</v>
      </c>
      <c r="N280" s="3" t="s">
        <v>19</v>
      </c>
    </row>
    <row r="281" spans="1:14" x14ac:dyDescent="0.3">
      <c r="A281" s="3">
        <v>25.992775000000002</v>
      </c>
      <c r="B281" s="3">
        <v>1989</v>
      </c>
      <c r="C281" s="3">
        <v>-0.69267270000000003</v>
      </c>
      <c r="D281" s="3" t="s">
        <v>19</v>
      </c>
      <c r="E281" s="3"/>
      <c r="F281" s="3">
        <v>28.693339999999999</v>
      </c>
      <c r="G281" s="3">
        <v>1989</v>
      </c>
      <c r="H281" s="3">
        <v>-0.70518493999999998</v>
      </c>
      <c r="I281" s="3" t="s">
        <v>19</v>
      </c>
      <c r="J281" s="3"/>
      <c r="K281" s="3">
        <v>23.292213</v>
      </c>
      <c r="L281" s="3">
        <v>1989</v>
      </c>
      <c r="M281" s="3">
        <v>-0.68014909999999995</v>
      </c>
      <c r="N281" s="3" t="s">
        <v>19</v>
      </c>
    </row>
    <row r="282" spans="1:14" x14ac:dyDescent="0.3">
      <c r="A282" s="3">
        <v>26.280424</v>
      </c>
      <c r="B282" s="3">
        <v>1990</v>
      </c>
      <c r="C282" s="3">
        <v>-0.40502357</v>
      </c>
      <c r="D282" s="3" t="s">
        <v>19</v>
      </c>
      <c r="E282" s="3"/>
      <c r="F282" s="3">
        <v>28.985676000000002</v>
      </c>
      <c r="G282" s="3">
        <v>1990</v>
      </c>
      <c r="H282" s="3">
        <v>-0.41284943000000002</v>
      </c>
      <c r="I282" s="3" t="s">
        <v>19</v>
      </c>
      <c r="J282" s="3"/>
      <c r="K282" s="3">
        <v>23.57517</v>
      </c>
      <c r="L282" s="3">
        <v>1990</v>
      </c>
      <c r="M282" s="3">
        <v>-0.39719199999999999</v>
      </c>
      <c r="N282" s="3" t="s">
        <v>19</v>
      </c>
    </row>
    <row r="283" spans="1:14" x14ac:dyDescent="0.3">
      <c r="A283" s="3">
        <v>26.304466000000001</v>
      </c>
      <c r="B283" s="3">
        <v>1991</v>
      </c>
      <c r="C283" s="3">
        <v>-0.38098145</v>
      </c>
      <c r="D283" s="3" t="s">
        <v>19</v>
      </c>
      <c r="E283" s="3"/>
      <c r="F283" s="3">
        <v>28.878623999999999</v>
      </c>
      <c r="G283" s="3">
        <v>1991</v>
      </c>
      <c r="H283" s="3">
        <v>-0.51990130000000001</v>
      </c>
      <c r="I283" s="3" t="s">
        <v>19</v>
      </c>
      <c r="J283" s="3"/>
      <c r="K283" s="3">
        <v>23.730307</v>
      </c>
      <c r="L283" s="3">
        <v>1991</v>
      </c>
      <c r="M283" s="3">
        <v>-0.24205589999999999</v>
      </c>
      <c r="N283" s="3" t="s">
        <v>19</v>
      </c>
    </row>
    <row r="284" spans="1:14" x14ac:dyDescent="0.3">
      <c r="A284" s="3">
        <v>26.191994000000001</v>
      </c>
      <c r="B284" s="3">
        <v>1992</v>
      </c>
      <c r="C284" s="3">
        <v>-0.49345398000000001</v>
      </c>
      <c r="D284" s="3" t="s">
        <v>19</v>
      </c>
      <c r="E284" s="3"/>
      <c r="F284" s="3">
        <v>28.953900000000001</v>
      </c>
      <c r="G284" s="3">
        <v>1992</v>
      </c>
      <c r="H284" s="3">
        <v>-0.44462584999999999</v>
      </c>
      <c r="I284" s="3" t="s">
        <v>19</v>
      </c>
      <c r="J284" s="3"/>
      <c r="K284" s="3">
        <v>23.430084000000001</v>
      </c>
      <c r="L284" s="3">
        <v>1992</v>
      </c>
      <c r="M284" s="3">
        <v>-0.54227829999999999</v>
      </c>
      <c r="N284" s="3" t="s">
        <v>19</v>
      </c>
    </row>
    <row r="285" spans="1:14" x14ac:dyDescent="0.3">
      <c r="A285" s="3">
        <v>26.388842</v>
      </c>
      <c r="B285" s="3">
        <v>1993</v>
      </c>
      <c r="C285" s="3">
        <v>-0.29660606</v>
      </c>
      <c r="D285" s="3" t="s">
        <v>19</v>
      </c>
      <c r="E285" s="3"/>
      <c r="F285" s="3">
        <v>29.099250000000001</v>
      </c>
      <c r="G285" s="3">
        <v>1993</v>
      </c>
      <c r="H285" s="3">
        <v>-0.29927443999999997</v>
      </c>
      <c r="I285" s="3" t="s">
        <v>19</v>
      </c>
      <c r="J285" s="3"/>
      <c r="K285" s="3">
        <v>23.678429999999999</v>
      </c>
      <c r="L285" s="3">
        <v>1993</v>
      </c>
      <c r="M285" s="3">
        <v>-0.29393195999999999</v>
      </c>
      <c r="N285" s="3" t="s">
        <v>19</v>
      </c>
    </row>
    <row r="286" spans="1:14" x14ac:dyDescent="0.3">
      <c r="A286" s="3">
        <v>26.372097</v>
      </c>
      <c r="B286" s="3">
        <v>1994</v>
      </c>
      <c r="C286" s="3">
        <v>-0.31335067999999999</v>
      </c>
      <c r="D286" s="3" t="s">
        <v>19</v>
      </c>
      <c r="E286" s="3"/>
      <c r="F286" s="3">
        <v>29.109629000000002</v>
      </c>
      <c r="G286" s="3">
        <v>1994</v>
      </c>
      <c r="H286" s="3">
        <v>-0.28889656000000002</v>
      </c>
      <c r="I286" s="3" t="s">
        <v>19</v>
      </c>
      <c r="J286" s="3"/>
      <c r="K286" s="3">
        <v>23.634567000000001</v>
      </c>
      <c r="L286" s="3">
        <v>1994</v>
      </c>
      <c r="M286" s="3">
        <v>-0.33779525999999999</v>
      </c>
      <c r="N286" s="3" t="s">
        <v>19</v>
      </c>
    </row>
    <row r="287" spans="1:14" x14ac:dyDescent="0.3">
      <c r="A287" s="3">
        <v>26.265497</v>
      </c>
      <c r="B287" s="3">
        <v>1995</v>
      </c>
      <c r="C287" s="3">
        <v>-0.4199505</v>
      </c>
      <c r="D287" s="3" t="s">
        <v>19</v>
      </c>
      <c r="E287" s="3"/>
      <c r="F287" s="3">
        <v>29.015604</v>
      </c>
      <c r="G287" s="3">
        <v>1995</v>
      </c>
      <c r="H287" s="3">
        <v>-0.38292122000000001</v>
      </c>
      <c r="I287" s="3" t="s">
        <v>19</v>
      </c>
      <c r="J287" s="3"/>
      <c r="K287" s="3">
        <v>23.51539</v>
      </c>
      <c r="L287" s="3">
        <v>1995</v>
      </c>
      <c r="M287" s="3">
        <v>-0.45697211999999998</v>
      </c>
      <c r="N287" s="3" t="s">
        <v>19</v>
      </c>
    </row>
    <row r="288" spans="1:14" x14ac:dyDescent="0.3">
      <c r="A288" s="3">
        <v>26.110188000000001</v>
      </c>
      <c r="B288" s="3">
        <v>1996</v>
      </c>
      <c r="C288" s="3">
        <v>-0.57526016000000002</v>
      </c>
      <c r="D288" s="3" t="s">
        <v>19</v>
      </c>
      <c r="E288" s="3"/>
      <c r="F288" s="3">
        <v>28.829730999999999</v>
      </c>
      <c r="G288" s="3">
        <v>1996</v>
      </c>
      <c r="H288" s="3">
        <v>-0.56879424999999995</v>
      </c>
      <c r="I288" s="3" t="s">
        <v>19</v>
      </c>
      <c r="J288" s="3"/>
      <c r="K288" s="3">
        <v>23.390650000000001</v>
      </c>
      <c r="L288" s="3">
        <v>1996</v>
      </c>
      <c r="M288" s="3">
        <v>-0.58171269999999997</v>
      </c>
      <c r="N288" s="3" t="s">
        <v>19</v>
      </c>
    </row>
    <row r="289" spans="1:14" x14ac:dyDescent="0.3">
      <c r="A289" s="3">
        <v>27.219797</v>
      </c>
      <c r="B289" s="3">
        <v>1997</v>
      </c>
      <c r="C289" s="3">
        <v>0.53434943999999995</v>
      </c>
      <c r="D289" s="3" t="s">
        <v>19</v>
      </c>
      <c r="E289" s="3"/>
      <c r="F289" s="3">
        <v>30.057089000000001</v>
      </c>
      <c r="G289" s="3">
        <v>1997</v>
      </c>
      <c r="H289" s="3">
        <v>0.65856360000000003</v>
      </c>
      <c r="I289" s="3" t="s">
        <v>19</v>
      </c>
      <c r="J289" s="3"/>
      <c r="K289" s="3">
        <v>24.382504999999998</v>
      </c>
      <c r="L289" s="3">
        <v>1997</v>
      </c>
      <c r="M289" s="3">
        <v>0.41014289999999998</v>
      </c>
      <c r="N289" s="3" t="s">
        <v>19</v>
      </c>
    </row>
    <row r="290" spans="1:14" x14ac:dyDescent="0.3">
      <c r="A290" s="3">
        <v>26.476286000000002</v>
      </c>
      <c r="B290" s="3">
        <v>1998</v>
      </c>
      <c r="C290" s="3">
        <v>-0.20916176</v>
      </c>
      <c r="D290" s="3" t="s">
        <v>19</v>
      </c>
      <c r="E290" s="3"/>
      <c r="F290" s="3">
        <v>29.112300000000001</v>
      </c>
      <c r="G290" s="3">
        <v>1998</v>
      </c>
      <c r="H290" s="3">
        <v>-0.28622437000000001</v>
      </c>
      <c r="I290" s="3" t="s">
        <v>19</v>
      </c>
      <c r="J290" s="3"/>
      <c r="K290" s="3">
        <v>23.840267000000001</v>
      </c>
      <c r="L290" s="3">
        <v>1998</v>
      </c>
      <c r="M290" s="3">
        <v>-0.13209534000000001</v>
      </c>
      <c r="N290" s="3" t="s">
        <v>19</v>
      </c>
    </row>
    <row r="291" spans="1:14" x14ac:dyDescent="0.3">
      <c r="A291" s="3">
        <v>26.095516</v>
      </c>
      <c r="B291" s="3">
        <v>1999</v>
      </c>
      <c r="C291" s="3">
        <v>-0.58993150000000005</v>
      </c>
      <c r="D291" s="3" t="s">
        <v>19</v>
      </c>
      <c r="E291" s="3"/>
      <c r="F291" s="3">
        <v>28.939518</v>
      </c>
      <c r="G291" s="3">
        <v>1999</v>
      </c>
      <c r="H291" s="3">
        <v>-0.45900725999999997</v>
      </c>
      <c r="I291" s="3" t="s">
        <v>19</v>
      </c>
      <c r="J291" s="3"/>
      <c r="K291" s="3">
        <v>23.251512999999999</v>
      </c>
      <c r="L291" s="3">
        <v>1999</v>
      </c>
      <c r="M291" s="3">
        <v>-0.72084999999999999</v>
      </c>
      <c r="N291" s="3" t="s">
        <v>19</v>
      </c>
    </row>
    <row r="292" spans="1:14" x14ac:dyDescent="0.3">
      <c r="A292" s="3">
        <v>26.050892000000001</v>
      </c>
      <c r="B292" s="3">
        <v>2000</v>
      </c>
      <c r="C292" s="3">
        <v>-0.6345558</v>
      </c>
      <c r="D292" s="3" t="s">
        <v>19</v>
      </c>
      <c r="E292" s="3"/>
      <c r="F292" s="3">
        <v>28.718786000000001</v>
      </c>
      <c r="G292" s="3">
        <v>2000</v>
      </c>
      <c r="H292" s="3">
        <v>-0.67973899999999998</v>
      </c>
      <c r="I292" s="3" t="s">
        <v>19</v>
      </c>
      <c r="J292" s="3"/>
      <c r="K292" s="3">
        <v>23.382998000000001</v>
      </c>
      <c r="L292" s="3">
        <v>2000</v>
      </c>
      <c r="M292" s="3">
        <v>-0.58936500000000003</v>
      </c>
      <c r="N292" s="3" t="s">
        <v>19</v>
      </c>
    </row>
    <row r="293" spans="1:14" x14ac:dyDescent="0.3">
      <c r="A293" s="3">
        <v>26.339897000000001</v>
      </c>
      <c r="B293" s="3">
        <v>2001</v>
      </c>
      <c r="C293" s="3">
        <v>-0.34555054000000002</v>
      </c>
      <c r="D293" s="3" t="s">
        <v>19</v>
      </c>
      <c r="E293" s="3"/>
      <c r="F293" s="3">
        <v>29.27176</v>
      </c>
      <c r="G293" s="3">
        <v>2001</v>
      </c>
      <c r="H293" s="3">
        <v>-0.1267643</v>
      </c>
      <c r="I293" s="3" t="s">
        <v>19</v>
      </c>
      <c r="J293" s="3"/>
      <c r="K293" s="3">
        <v>23.408028000000002</v>
      </c>
      <c r="L293" s="3">
        <v>2001</v>
      </c>
      <c r="M293" s="3">
        <v>-0.56433487000000004</v>
      </c>
      <c r="N293" s="3" t="s">
        <v>19</v>
      </c>
    </row>
    <row r="294" spans="1:14" x14ac:dyDescent="0.3">
      <c r="A294" s="3">
        <v>26.675719999999998</v>
      </c>
      <c r="B294" s="3">
        <v>2002</v>
      </c>
      <c r="C294" s="3">
        <v>-9.7274779999999995E-3</v>
      </c>
      <c r="D294" s="3" t="s">
        <v>19</v>
      </c>
      <c r="E294" s="3"/>
      <c r="F294" s="3">
        <v>29.519587999999999</v>
      </c>
      <c r="G294" s="3">
        <v>2002</v>
      </c>
      <c r="H294" s="3">
        <v>0.12106322999999999</v>
      </c>
      <c r="I294" s="3" t="s">
        <v>19</v>
      </c>
      <c r="J294" s="3"/>
      <c r="K294" s="3">
        <v>23.831849999999999</v>
      </c>
      <c r="L294" s="3">
        <v>2002</v>
      </c>
      <c r="M294" s="3">
        <v>-0.14051247</v>
      </c>
      <c r="N294" s="3" t="s">
        <v>19</v>
      </c>
    </row>
    <row r="295" spans="1:14" x14ac:dyDescent="0.3">
      <c r="A295" s="3">
        <v>26.428967</v>
      </c>
      <c r="B295" s="3">
        <v>2003</v>
      </c>
      <c r="C295" s="3">
        <v>-0.25648116999999998</v>
      </c>
      <c r="D295" s="3" t="s">
        <v>19</v>
      </c>
      <c r="E295" s="3"/>
      <c r="F295" s="3">
        <v>29.179745</v>
      </c>
      <c r="G295" s="3">
        <v>2003</v>
      </c>
      <c r="H295" s="3">
        <v>-0.21878052000000001</v>
      </c>
      <c r="I295" s="3" t="s">
        <v>19</v>
      </c>
      <c r="J295" s="3"/>
      <c r="K295" s="3">
        <v>23.678186</v>
      </c>
      <c r="L295" s="3">
        <v>2003</v>
      </c>
      <c r="M295" s="3">
        <v>-0.2941761</v>
      </c>
      <c r="N295" s="3" t="s">
        <v>19</v>
      </c>
    </row>
    <row r="296" spans="1:14" x14ac:dyDescent="0.3">
      <c r="A296" s="3">
        <v>26.563389999999998</v>
      </c>
      <c r="B296" s="3">
        <v>2004</v>
      </c>
      <c r="C296" s="3">
        <v>-0.12205696000000001</v>
      </c>
      <c r="D296" s="3" t="s">
        <v>19</v>
      </c>
      <c r="E296" s="3"/>
      <c r="F296" s="3">
        <v>29.093906</v>
      </c>
      <c r="G296" s="3">
        <v>2004</v>
      </c>
      <c r="H296" s="3">
        <v>-0.30461884</v>
      </c>
      <c r="I296" s="3" t="s">
        <v>19</v>
      </c>
      <c r="J296" s="3"/>
      <c r="K296" s="3">
        <v>24.032879000000001</v>
      </c>
      <c r="L296" s="3">
        <v>2004</v>
      </c>
      <c r="M296" s="3">
        <v>6.0516357E-2</v>
      </c>
      <c r="N296" s="3" t="s">
        <v>19</v>
      </c>
    </row>
    <row r="297" spans="1:14" x14ac:dyDescent="0.3">
      <c r="A297" s="3">
        <v>27.061841999999999</v>
      </c>
      <c r="B297" s="3">
        <v>2005</v>
      </c>
      <c r="C297" s="3">
        <v>0.37639426999999998</v>
      </c>
      <c r="D297" s="3" t="s">
        <v>19</v>
      </c>
      <c r="E297" s="3"/>
      <c r="F297" s="3">
        <v>29.949774000000001</v>
      </c>
      <c r="G297" s="3">
        <v>2005</v>
      </c>
      <c r="H297" s="3">
        <v>0.55124854999999995</v>
      </c>
      <c r="I297" s="3" t="s">
        <v>19</v>
      </c>
      <c r="J297" s="3"/>
      <c r="K297" s="3">
        <v>24.173904</v>
      </c>
      <c r="L297" s="3">
        <v>2005</v>
      </c>
      <c r="M297" s="3">
        <v>0.2015419</v>
      </c>
      <c r="N297" s="3" t="s">
        <v>19</v>
      </c>
    </row>
    <row r="298" spans="1:14" x14ac:dyDescent="0.3">
      <c r="A298" s="3">
        <v>26.929390000000001</v>
      </c>
      <c r="B298" s="3">
        <v>2006</v>
      </c>
      <c r="C298" s="3">
        <v>0.24394225999999999</v>
      </c>
      <c r="D298" s="3" t="s">
        <v>19</v>
      </c>
      <c r="E298" s="3"/>
      <c r="F298" s="3">
        <v>29.668569999999999</v>
      </c>
      <c r="G298" s="3">
        <v>2006</v>
      </c>
      <c r="H298" s="3">
        <v>0.27004433</v>
      </c>
      <c r="I298" s="3" t="s">
        <v>19</v>
      </c>
      <c r="J298" s="3"/>
      <c r="K298" s="3">
        <v>24.190214000000001</v>
      </c>
      <c r="L298" s="3">
        <v>2006</v>
      </c>
      <c r="M298" s="3">
        <v>0.21785164000000001</v>
      </c>
      <c r="N298" s="3" t="s">
        <v>19</v>
      </c>
    </row>
    <row r="299" spans="1:14" x14ac:dyDescent="0.3">
      <c r="A299" s="3">
        <v>26.784544</v>
      </c>
      <c r="B299" s="3">
        <v>2007</v>
      </c>
      <c r="C299" s="3">
        <v>9.9096299999999998E-2</v>
      </c>
      <c r="D299" s="3" t="s">
        <v>19</v>
      </c>
      <c r="E299" s="3"/>
      <c r="F299" s="3">
        <v>29.514710000000001</v>
      </c>
      <c r="G299" s="3">
        <v>2007</v>
      </c>
      <c r="H299" s="3">
        <v>0.116184235</v>
      </c>
      <c r="I299" s="3" t="s">
        <v>19</v>
      </c>
      <c r="J299" s="3"/>
      <c r="K299" s="3">
        <v>24.054379999999998</v>
      </c>
      <c r="L299" s="3">
        <v>2007</v>
      </c>
      <c r="M299" s="3">
        <v>8.2017900000000005E-2</v>
      </c>
      <c r="N299" s="3" t="s">
        <v>19</v>
      </c>
    </row>
    <row r="300" spans="1:14" x14ac:dyDescent="0.3">
      <c r="A300" s="3">
        <v>26.351870000000002</v>
      </c>
      <c r="B300" s="3">
        <v>2008</v>
      </c>
      <c r="C300" s="3">
        <v>-0.33357809999999999</v>
      </c>
      <c r="D300" s="3" t="s">
        <v>19</v>
      </c>
      <c r="E300" s="3"/>
      <c r="F300" s="3">
        <v>28.956444000000001</v>
      </c>
      <c r="G300" s="3">
        <v>2008</v>
      </c>
      <c r="H300" s="3">
        <v>-0.44208144999999999</v>
      </c>
      <c r="I300" s="3" t="s">
        <v>19</v>
      </c>
      <c r="J300" s="3"/>
      <c r="K300" s="3">
        <v>23.747292999999999</v>
      </c>
      <c r="L300" s="3">
        <v>2008</v>
      </c>
      <c r="M300" s="3">
        <v>-0.22506904999999999</v>
      </c>
      <c r="N300" s="3" t="s">
        <v>19</v>
      </c>
    </row>
    <row r="301" spans="1:14" x14ac:dyDescent="0.3">
      <c r="A301" s="3">
        <v>27.080193000000001</v>
      </c>
      <c r="B301" s="3">
        <v>2009</v>
      </c>
      <c r="C301" s="3">
        <v>0.39474487000000003</v>
      </c>
      <c r="D301" s="3" t="s">
        <v>19</v>
      </c>
      <c r="E301" s="3"/>
      <c r="F301" s="3">
        <v>29.819723</v>
      </c>
      <c r="G301" s="3">
        <v>2009</v>
      </c>
      <c r="H301" s="3">
        <v>0.42119790000000001</v>
      </c>
      <c r="I301" s="3" t="s">
        <v>19</v>
      </c>
      <c r="J301" s="3"/>
      <c r="K301" s="3">
        <v>24.34066</v>
      </c>
      <c r="L301" s="3">
        <v>2009</v>
      </c>
      <c r="M301" s="3">
        <v>0.36829758000000001</v>
      </c>
      <c r="N301" s="3" t="s">
        <v>19</v>
      </c>
    </row>
    <row r="302" spans="1:14" x14ac:dyDescent="0.3">
      <c r="A302" s="3">
        <v>26.810032</v>
      </c>
      <c r="B302" s="3">
        <v>2010</v>
      </c>
      <c r="C302" s="3">
        <v>0.12458420000000001</v>
      </c>
      <c r="D302" s="3" t="s">
        <v>19</v>
      </c>
      <c r="E302" s="3"/>
      <c r="F302" s="3">
        <v>29.334441999999999</v>
      </c>
      <c r="G302" s="3">
        <v>2010</v>
      </c>
      <c r="H302" s="3">
        <v>-6.4083100000000004E-2</v>
      </c>
      <c r="I302" s="3" t="s">
        <v>19</v>
      </c>
      <c r="J302" s="3"/>
      <c r="K302" s="3">
        <v>24.285620000000002</v>
      </c>
      <c r="L302" s="3">
        <v>2010</v>
      </c>
      <c r="M302" s="3">
        <v>0.31325722</v>
      </c>
      <c r="N302" s="3" t="s">
        <v>19</v>
      </c>
    </row>
    <row r="303" spans="1:14" x14ac:dyDescent="0.3">
      <c r="A303" s="3">
        <v>26.839254</v>
      </c>
      <c r="B303" s="3">
        <v>2011</v>
      </c>
      <c r="C303" s="3">
        <v>0.15380669</v>
      </c>
      <c r="D303" s="3" t="s">
        <v>19</v>
      </c>
      <c r="E303" s="3"/>
      <c r="F303" s="3">
        <v>29.55029</v>
      </c>
      <c r="G303" s="3">
        <v>2011</v>
      </c>
      <c r="H303" s="3">
        <v>0.15176392</v>
      </c>
      <c r="I303" s="3" t="s">
        <v>19</v>
      </c>
      <c r="J303" s="3"/>
      <c r="K303" s="3">
        <v>24.128219999999999</v>
      </c>
      <c r="L303" s="3">
        <v>2011</v>
      </c>
      <c r="M303" s="3">
        <v>0.15585709</v>
      </c>
      <c r="N303" s="3" t="s">
        <v>19</v>
      </c>
    </row>
    <row r="304" spans="1:14" x14ac:dyDescent="0.3">
      <c r="A304" s="3">
        <v>26.946749000000001</v>
      </c>
      <c r="B304" s="3">
        <v>2012</v>
      </c>
      <c r="C304" s="3">
        <v>0.26130103999999998</v>
      </c>
      <c r="D304" s="3" t="s">
        <v>19</v>
      </c>
      <c r="E304" s="3"/>
      <c r="F304" s="3">
        <v>29.672885999999998</v>
      </c>
      <c r="G304" s="3">
        <v>2012</v>
      </c>
      <c r="H304" s="3">
        <v>0.27436065999999998</v>
      </c>
      <c r="I304" s="3" t="s">
        <v>19</v>
      </c>
      <c r="J304" s="3"/>
      <c r="K304" s="3">
        <v>24.220613</v>
      </c>
      <c r="L304" s="3">
        <v>2012</v>
      </c>
      <c r="M304" s="3">
        <v>0.24825095999999999</v>
      </c>
      <c r="N304" s="3" t="s">
        <v>19</v>
      </c>
    </row>
    <row r="305" spans="1:14" x14ac:dyDescent="0.3">
      <c r="A305" s="3">
        <v>26.82732</v>
      </c>
      <c r="B305" s="3">
        <v>2013</v>
      </c>
      <c r="C305" s="3">
        <v>0.14187240000000001</v>
      </c>
      <c r="D305" s="3" t="s">
        <v>19</v>
      </c>
      <c r="E305" s="3"/>
      <c r="F305" s="3">
        <v>29.641093999999999</v>
      </c>
      <c r="G305" s="3">
        <v>2013</v>
      </c>
      <c r="H305" s="3">
        <v>0.24256896999999999</v>
      </c>
      <c r="I305" s="3" t="s">
        <v>19</v>
      </c>
      <c r="J305" s="3"/>
      <c r="K305" s="3">
        <v>24.013546000000002</v>
      </c>
      <c r="L305" s="3">
        <v>2013</v>
      </c>
      <c r="M305" s="3">
        <v>4.118347E-2</v>
      </c>
      <c r="N305" s="3" t="s">
        <v>19</v>
      </c>
    </row>
    <row r="306" spans="1:14" x14ac:dyDescent="0.3">
      <c r="A306" s="3">
        <v>27.422718</v>
      </c>
      <c r="B306" s="3">
        <v>2014</v>
      </c>
      <c r="C306" s="3">
        <v>0.73727036000000001</v>
      </c>
      <c r="D306" s="3" t="s">
        <v>19</v>
      </c>
      <c r="E306" s="3"/>
      <c r="F306" s="3">
        <v>30.227298999999999</v>
      </c>
      <c r="G306" s="3">
        <v>2014</v>
      </c>
      <c r="H306" s="3">
        <v>0.82877350000000005</v>
      </c>
      <c r="I306" s="3" t="s">
        <v>19</v>
      </c>
      <c r="J306" s="3"/>
      <c r="K306" s="3">
        <v>24.618134999999999</v>
      </c>
      <c r="L306" s="3">
        <v>2014</v>
      </c>
      <c r="M306" s="3">
        <v>0.64577293000000002</v>
      </c>
      <c r="N306" s="3" t="s">
        <v>19</v>
      </c>
    </row>
    <row r="307" spans="1:14" x14ac:dyDescent="0.3">
      <c r="A307" s="3">
        <v>27.345828999999998</v>
      </c>
      <c r="B307" s="3">
        <v>2015</v>
      </c>
      <c r="C307" s="3">
        <v>0.66038129999999995</v>
      </c>
      <c r="D307" s="3" t="s">
        <v>19</v>
      </c>
      <c r="E307" s="3"/>
      <c r="F307" s="3">
        <v>30.014690000000002</v>
      </c>
      <c r="G307" s="3">
        <v>2015</v>
      </c>
      <c r="H307" s="3">
        <v>0.61616515999999999</v>
      </c>
      <c r="I307" s="3" t="s">
        <v>19</v>
      </c>
      <c r="J307" s="3"/>
      <c r="K307" s="3">
        <v>24.676967999999999</v>
      </c>
      <c r="L307" s="3">
        <v>2015</v>
      </c>
      <c r="M307" s="3">
        <v>0.70460509999999998</v>
      </c>
      <c r="N307" s="3" t="s">
        <v>19</v>
      </c>
    </row>
    <row r="308" spans="1:14" x14ac:dyDescent="0.3">
      <c r="A308" s="3">
        <v>26.881322999999998</v>
      </c>
      <c r="B308" s="3">
        <v>2016</v>
      </c>
      <c r="C308" s="3">
        <v>0.19587516999999999</v>
      </c>
      <c r="D308" s="3" t="s">
        <v>19</v>
      </c>
      <c r="E308" s="3"/>
      <c r="F308" s="3">
        <v>29.559571999999999</v>
      </c>
      <c r="G308" s="3">
        <v>2016</v>
      </c>
      <c r="H308" s="3">
        <v>0.16104698000000001</v>
      </c>
      <c r="I308" s="3" t="s">
        <v>19</v>
      </c>
      <c r="J308" s="3"/>
      <c r="K308" s="3">
        <v>24.203074999999998</v>
      </c>
      <c r="L308" s="3">
        <v>2016</v>
      </c>
      <c r="M308" s="3">
        <v>0.23071289</v>
      </c>
      <c r="N308" s="3" t="s">
        <v>19</v>
      </c>
    </row>
    <row r="309" spans="1:14" x14ac:dyDescent="0.3">
      <c r="A309" s="3">
        <v>27.040464</v>
      </c>
      <c r="B309" s="3">
        <v>2017</v>
      </c>
      <c r="C309" s="3">
        <v>0.35501670000000002</v>
      </c>
      <c r="D309" s="3" t="s">
        <v>19</v>
      </c>
      <c r="E309" s="3"/>
      <c r="F309" s="3">
        <v>29.579696999999999</v>
      </c>
      <c r="G309" s="3">
        <v>2017</v>
      </c>
      <c r="H309" s="3">
        <v>0.18117142</v>
      </c>
      <c r="I309" s="3" t="s">
        <v>19</v>
      </c>
      <c r="J309" s="3"/>
      <c r="K309" s="3">
        <v>24.50123</v>
      </c>
      <c r="L309" s="3">
        <v>2017</v>
      </c>
      <c r="M309" s="3">
        <v>0.52886770000000005</v>
      </c>
      <c r="N309" s="3" t="s">
        <v>19</v>
      </c>
    </row>
    <row r="310" spans="1:14" x14ac:dyDescent="0.3">
      <c r="A310" s="3">
        <v>26.889229</v>
      </c>
      <c r="B310" s="3">
        <v>2018</v>
      </c>
      <c r="C310" s="3">
        <v>0.20378113</v>
      </c>
      <c r="D310" s="3" t="s">
        <v>19</v>
      </c>
      <c r="E310" s="3"/>
      <c r="F310" s="3">
        <v>29.51831</v>
      </c>
      <c r="G310" s="3">
        <v>2018</v>
      </c>
      <c r="H310" s="3">
        <v>0.11978531000000001</v>
      </c>
      <c r="I310" s="3" t="s">
        <v>19</v>
      </c>
      <c r="J310" s="3"/>
      <c r="K310" s="3">
        <v>24.260145000000001</v>
      </c>
      <c r="L310" s="3">
        <v>2018</v>
      </c>
      <c r="M310" s="3">
        <v>0.28778267000000002</v>
      </c>
      <c r="N310" s="3" t="s">
        <v>19</v>
      </c>
    </row>
    <row r="311" spans="1:14" x14ac:dyDescent="0.3">
      <c r="A311" s="3">
        <v>27.058018000000001</v>
      </c>
      <c r="B311" s="3">
        <v>2019</v>
      </c>
      <c r="C311" s="3">
        <v>0.37257003999999999</v>
      </c>
      <c r="D311" s="3" t="s">
        <v>19</v>
      </c>
      <c r="E311" s="3"/>
      <c r="F311" s="3">
        <v>29.736782000000002</v>
      </c>
      <c r="G311" s="3">
        <v>2019</v>
      </c>
      <c r="H311" s="3">
        <v>0.33825684</v>
      </c>
      <c r="I311" s="3" t="s">
        <v>19</v>
      </c>
      <c r="J311" s="3"/>
      <c r="K311" s="3">
        <v>24.379252999999999</v>
      </c>
      <c r="L311" s="3">
        <v>2019</v>
      </c>
      <c r="M311" s="3">
        <v>0.40689087000000002</v>
      </c>
      <c r="N311" s="3" t="s">
        <v>19</v>
      </c>
    </row>
    <row r="312" spans="1:14" x14ac:dyDescent="0.3">
      <c r="A312" s="3">
        <v>26.811062</v>
      </c>
      <c r="B312" s="3">
        <v>2020</v>
      </c>
      <c r="C312" s="3">
        <v>0.12561417</v>
      </c>
      <c r="D312" s="3" t="s">
        <v>19</v>
      </c>
      <c r="E312" s="3"/>
      <c r="F312" s="3">
        <v>29.432044999999999</v>
      </c>
      <c r="G312" s="3">
        <v>2020</v>
      </c>
      <c r="H312" s="3">
        <v>3.3519744999999997E-2</v>
      </c>
      <c r="I312" s="3" t="s">
        <v>19</v>
      </c>
      <c r="J312" s="3"/>
      <c r="K312" s="3">
        <v>24.190075</v>
      </c>
      <c r="L312" s="3">
        <v>2020</v>
      </c>
      <c r="M312" s="3">
        <v>0.2177124</v>
      </c>
      <c r="N312" s="3" t="s">
        <v>19</v>
      </c>
    </row>
    <row r="313" spans="1:14" x14ac:dyDescent="0.3">
      <c r="A313" s="3">
        <v>26.867574999999999</v>
      </c>
      <c r="B313" s="3">
        <v>2021</v>
      </c>
      <c r="C313" s="3">
        <v>0.18212700000000001</v>
      </c>
      <c r="D313" s="3" t="s">
        <v>19</v>
      </c>
      <c r="E313" s="3"/>
      <c r="F313" s="3">
        <v>29.581059</v>
      </c>
      <c r="G313" s="3">
        <v>2021</v>
      </c>
      <c r="H313" s="3">
        <v>0.18253326</v>
      </c>
      <c r="I313" s="3" t="s">
        <v>19</v>
      </c>
      <c r="J313" s="3"/>
      <c r="K313" s="3">
        <v>24.15409</v>
      </c>
      <c r="L313" s="3">
        <v>2021</v>
      </c>
      <c r="M313" s="3">
        <v>0.18172836000000001</v>
      </c>
      <c r="N313" s="3" t="s">
        <v>19</v>
      </c>
    </row>
    <row r="314" spans="1:14" x14ac:dyDescent="0.3">
      <c r="A314" s="3">
        <v>26.678654000000002</v>
      </c>
      <c r="B314" s="3">
        <v>2022</v>
      </c>
      <c r="C314" s="3">
        <v>-6.7939760000000002E-3</v>
      </c>
      <c r="D314" s="3" t="s">
        <v>19</v>
      </c>
      <c r="E314" s="3"/>
      <c r="F314" s="3">
        <v>29.304652999999998</v>
      </c>
      <c r="G314" s="3">
        <v>2022</v>
      </c>
      <c r="H314" s="3">
        <v>-9.3872070000000002E-2</v>
      </c>
      <c r="I314" s="3" t="s">
        <v>19</v>
      </c>
      <c r="J314" s="3"/>
      <c r="K314" s="3">
        <v>24.052659999999999</v>
      </c>
      <c r="L314" s="3">
        <v>2022</v>
      </c>
      <c r="M314" s="3">
        <v>8.0297469999999996E-2</v>
      </c>
      <c r="N314" s="3" t="s">
        <v>19</v>
      </c>
    </row>
    <row r="315" spans="1:14" x14ac:dyDescent="0.3">
      <c r="A315" s="3">
        <v>27.627230000000001</v>
      </c>
      <c r="B315" s="3">
        <v>2023</v>
      </c>
      <c r="C315" s="3">
        <v>0.94178200000000001</v>
      </c>
      <c r="D315" s="3" t="s">
        <v>19</v>
      </c>
      <c r="E315" s="3"/>
      <c r="F315" s="3">
        <v>30.389036000000001</v>
      </c>
      <c r="G315" s="3">
        <v>2023</v>
      </c>
      <c r="H315" s="3">
        <v>0.99051093999999995</v>
      </c>
      <c r="I315" s="3" t="s">
        <v>19</v>
      </c>
      <c r="J315" s="3"/>
      <c r="K315" s="3">
        <v>24.865427</v>
      </c>
      <c r="L315" s="3">
        <v>2023</v>
      </c>
      <c r="M315" s="3">
        <v>0.89306450000000004</v>
      </c>
      <c r="N315" s="3" t="s">
        <v>19</v>
      </c>
    </row>
    <row r="316" spans="1:14" x14ac:dyDescent="0.3">
      <c r="A316" s="3">
        <v>27.328447000000001</v>
      </c>
      <c r="B316" s="3">
        <v>2024</v>
      </c>
      <c r="C316" s="3">
        <v>0.64299965000000003</v>
      </c>
      <c r="D316" s="3" t="s">
        <v>19</v>
      </c>
      <c r="E316" s="3"/>
      <c r="F316" s="3">
        <v>29.889748000000001</v>
      </c>
      <c r="G316" s="3">
        <v>2024</v>
      </c>
      <c r="H316" s="3">
        <v>0.49122238000000001</v>
      </c>
      <c r="I316" s="3" t="s">
        <v>19</v>
      </c>
      <c r="J316" s="3"/>
      <c r="K316" s="3">
        <v>24.767144999999999</v>
      </c>
      <c r="L316" s="3">
        <v>2024</v>
      </c>
      <c r="M316" s="3">
        <v>0.79478263999999998</v>
      </c>
      <c r="N316" s="3" t="s">
        <v>19</v>
      </c>
    </row>
    <row r="317" spans="1:14" x14ac:dyDescent="0.3">
      <c r="A317" s="3">
        <v>26.905518000000001</v>
      </c>
      <c r="B317" s="3">
        <v>2025</v>
      </c>
      <c r="C317" s="3">
        <v>0.22006988999999999</v>
      </c>
      <c r="D317" s="3" t="s">
        <v>19</v>
      </c>
      <c r="E317" s="3"/>
      <c r="F317" s="3">
        <v>29.50253</v>
      </c>
      <c r="G317" s="3">
        <v>2025</v>
      </c>
      <c r="H317" s="3">
        <v>0.10400390599999999</v>
      </c>
      <c r="I317" s="3" t="s">
        <v>19</v>
      </c>
      <c r="J317" s="3"/>
      <c r="K317" s="3">
        <v>24.308506000000001</v>
      </c>
      <c r="L317" s="3">
        <v>2025</v>
      </c>
      <c r="M317" s="3">
        <v>0.33614349999999998</v>
      </c>
      <c r="N317" s="3" t="s">
        <v>19</v>
      </c>
    </row>
    <row r="318" spans="1:14" x14ac:dyDescent="0.3">
      <c r="A318" s="3">
        <v>25.811900999999999</v>
      </c>
      <c r="B318" s="3">
        <v>1981</v>
      </c>
      <c r="C318" s="3">
        <v>-0.6548252</v>
      </c>
      <c r="D318" s="3" t="s">
        <v>20</v>
      </c>
      <c r="E318" s="3"/>
      <c r="F318" s="3">
        <v>28.383548999999999</v>
      </c>
      <c r="G318" s="3">
        <v>1981</v>
      </c>
      <c r="H318" s="3">
        <v>-0.83022879999999999</v>
      </c>
      <c r="I318" s="3" t="s">
        <v>20</v>
      </c>
      <c r="J318" s="3"/>
      <c r="K318" s="3">
        <v>23.240255000000001</v>
      </c>
      <c r="L318" s="3">
        <v>1981</v>
      </c>
      <c r="M318" s="3">
        <v>-0.47941780000000001</v>
      </c>
      <c r="N318" s="3" t="s">
        <v>20</v>
      </c>
    </row>
    <row r="319" spans="1:14" x14ac:dyDescent="0.3">
      <c r="A319" s="3">
        <v>26.199831</v>
      </c>
      <c r="B319" s="3">
        <v>1982</v>
      </c>
      <c r="C319" s="3">
        <v>-0.2668953</v>
      </c>
      <c r="D319" s="3" t="s">
        <v>20</v>
      </c>
      <c r="E319" s="3"/>
      <c r="F319" s="3">
        <v>28.844916999999999</v>
      </c>
      <c r="G319" s="3">
        <v>1982</v>
      </c>
      <c r="H319" s="3">
        <v>-0.36886024000000001</v>
      </c>
      <c r="I319" s="3" t="s">
        <v>20</v>
      </c>
      <c r="J319" s="3"/>
      <c r="K319" s="3">
        <v>23.554742999999998</v>
      </c>
      <c r="L319" s="3">
        <v>1982</v>
      </c>
      <c r="M319" s="3">
        <v>-0.16493034000000001</v>
      </c>
      <c r="N319" s="3" t="s">
        <v>20</v>
      </c>
    </row>
    <row r="320" spans="1:14" x14ac:dyDescent="0.3">
      <c r="A320" s="3">
        <v>26.287293999999999</v>
      </c>
      <c r="B320" s="3">
        <v>1983</v>
      </c>
      <c r="C320" s="3">
        <v>-0.17943191999999999</v>
      </c>
      <c r="D320" s="3" t="s">
        <v>20</v>
      </c>
      <c r="E320" s="3"/>
      <c r="F320" s="3">
        <v>28.925442</v>
      </c>
      <c r="G320" s="3">
        <v>1983</v>
      </c>
      <c r="H320" s="3">
        <v>-0.28833579999999998</v>
      </c>
      <c r="I320" s="3" t="s">
        <v>20</v>
      </c>
      <c r="J320" s="3"/>
      <c r="K320" s="3">
        <v>23.649149000000001</v>
      </c>
      <c r="L320" s="3">
        <v>1983</v>
      </c>
      <c r="M320" s="3">
        <v>-7.0524216000000001E-2</v>
      </c>
      <c r="N320" s="3" t="s">
        <v>20</v>
      </c>
    </row>
    <row r="321" spans="1:14" x14ac:dyDescent="0.3">
      <c r="A321" s="3">
        <v>25.48462</v>
      </c>
      <c r="B321" s="3">
        <v>1984</v>
      </c>
      <c r="C321" s="3">
        <v>-0.98210715999999998</v>
      </c>
      <c r="D321" s="3" t="s">
        <v>20</v>
      </c>
      <c r="E321" s="3"/>
      <c r="F321" s="3">
        <v>28.071306</v>
      </c>
      <c r="G321" s="3">
        <v>1984</v>
      </c>
      <c r="H321" s="3">
        <v>-1.1424713</v>
      </c>
      <c r="I321" s="3" t="s">
        <v>20</v>
      </c>
      <c r="J321" s="3"/>
      <c r="K321" s="3">
        <v>22.897932000000001</v>
      </c>
      <c r="L321" s="3">
        <v>1984</v>
      </c>
      <c r="M321" s="3">
        <v>-0.8217411</v>
      </c>
      <c r="N321" s="3" t="s">
        <v>20</v>
      </c>
    </row>
    <row r="322" spans="1:14" x14ac:dyDescent="0.3">
      <c r="A322" s="3">
        <v>25.357498</v>
      </c>
      <c r="B322" s="3">
        <v>1985</v>
      </c>
      <c r="C322" s="3">
        <v>-1.1092280999999999</v>
      </c>
      <c r="D322" s="3" t="s">
        <v>20</v>
      </c>
      <c r="E322" s="3"/>
      <c r="F322" s="3">
        <v>27.852955000000001</v>
      </c>
      <c r="G322" s="3">
        <v>1985</v>
      </c>
      <c r="H322" s="3">
        <v>-1.3608226999999999</v>
      </c>
      <c r="I322" s="3" t="s">
        <v>20</v>
      </c>
      <c r="J322" s="3"/>
      <c r="K322" s="3">
        <v>22.86204</v>
      </c>
      <c r="L322" s="3">
        <v>1985</v>
      </c>
      <c r="M322" s="3">
        <v>-0.8576336</v>
      </c>
      <c r="N322" s="3" t="s">
        <v>20</v>
      </c>
    </row>
    <row r="323" spans="1:14" x14ac:dyDescent="0.3">
      <c r="A323" s="3">
        <v>25.832508000000001</v>
      </c>
      <c r="B323" s="3">
        <v>1986</v>
      </c>
      <c r="C323" s="3">
        <v>-0.63421819999999995</v>
      </c>
      <c r="D323" s="3" t="s">
        <v>20</v>
      </c>
      <c r="E323" s="3"/>
      <c r="F323" s="3">
        <v>28.475162999999998</v>
      </c>
      <c r="G323" s="3">
        <v>1986</v>
      </c>
      <c r="H323" s="3">
        <v>-0.73861504</v>
      </c>
      <c r="I323" s="3" t="s">
        <v>20</v>
      </c>
      <c r="J323" s="3"/>
      <c r="K323" s="3">
        <v>23.189845999999999</v>
      </c>
      <c r="L323" s="3">
        <v>1986</v>
      </c>
      <c r="M323" s="3">
        <v>-0.5298271</v>
      </c>
      <c r="N323" s="3" t="s">
        <v>20</v>
      </c>
    </row>
    <row r="324" spans="1:14" x14ac:dyDescent="0.3">
      <c r="A324" s="3">
        <v>26.452131000000001</v>
      </c>
      <c r="B324" s="3">
        <v>1987</v>
      </c>
      <c r="C324" s="3">
        <v>-1.4595032000000001E-2</v>
      </c>
      <c r="D324" s="3" t="s">
        <v>20</v>
      </c>
      <c r="E324" s="3"/>
      <c r="F324" s="3">
        <v>29.262958999999999</v>
      </c>
      <c r="G324" s="3">
        <v>1987</v>
      </c>
      <c r="H324" s="3">
        <v>4.9180983999999997E-2</v>
      </c>
      <c r="I324" s="3" t="s">
        <v>20</v>
      </c>
      <c r="J324" s="3"/>
      <c r="K324" s="3">
        <v>23.641306</v>
      </c>
      <c r="L324" s="3">
        <v>1987</v>
      </c>
      <c r="M324" s="3">
        <v>-7.8367229999999996E-2</v>
      </c>
      <c r="N324" s="3" t="s">
        <v>20</v>
      </c>
    </row>
    <row r="325" spans="1:14" x14ac:dyDescent="0.3">
      <c r="A325" s="3">
        <v>25.615524000000001</v>
      </c>
      <c r="B325" s="3">
        <v>1988</v>
      </c>
      <c r="C325" s="3">
        <v>-0.85120200000000001</v>
      </c>
      <c r="D325" s="3" t="s">
        <v>20</v>
      </c>
      <c r="E325" s="3"/>
      <c r="F325" s="3">
        <v>28.188670999999999</v>
      </c>
      <c r="G325" s="3">
        <v>1988</v>
      </c>
      <c r="H325" s="3">
        <v>-1.0251064000000001</v>
      </c>
      <c r="I325" s="3" t="s">
        <v>20</v>
      </c>
      <c r="J325" s="3"/>
      <c r="K325" s="3">
        <v>23.042376999999998</v>
      </c>
      <c r="L325" s="3">
        <v>1988</v>
      </c>
      <c r="M325" s="3">
        <v>-0.67729569999999995</v>
      </c>
      <c r="N325" s="3" t="s">
        <v>20</v>
      </c>
    </row>
    <row r="326" spans="1:14" x14ac:dyDescent="0.3">
      <c r="A326" s="3">
        <v>25.768039999999999</v>
      </c>
      <c r="B326" s="3">
        <v>1989</v>
      </c>
      <c r="C326" s="3">
        <v>-0.69868660000000005</v>
      </c>
      <c r="D326" s="3" t="s">
        <v>20</v>
      </c>
      <c r="E326" s="3"/>
      <c r="F326" s="3">
        <v>28.479759999999999</v>
      </c>
      <c r="G326" s="3">
        <v>1989</v>
      </c>
      <c r="H326" s="3">
        <v>-0.73401830000000001</v>
      </c>
      <c r="I326" s="3" t="s">
        <v>20</v>
      </c>
      <c r="J326" s="3"/>
      <c r="K326" s="3">
        <v>23.056319999999999</v>
      </c>
      <c r="L326" s="3">
        <v>1989</v>
      </c>
      <c r="M326" s="3">
        <v>-0.66335297000000004</v>
      </c>
      <c r="N326" s="3" t="s">
        <v>20</v>
      </c>
    </row>
    <row r="327" spans="1:14" x14ac:dyDescent="0.3">
      <c r="A327" s="3">
        <v>26.08953</v>
      </c>
      <c r="B327" s="3">
        <v>1990</v>
      </c>
      <c r="C327" s="3">
        <v>-0.37719535999999998</v>
      </c>
      <c r="D327" s="3" t="s">
        <v>20</v>
      </c>
      <c r="E327" s="3"/>
      <c r="F327" s="3">
        <v>28.763023</v>
      </c>
      <c r="G327" s="3">
        <v>1990</v>
      </c>
      <c r="H327" s="3">
        <v>-0.45075417000000001</v>
      </c>
      <c r="I327" s="3" t="s">
        <v>20</v>
      </c>
      <c r="J327" s="3"/>
      <c r="K327" s="3">
        <v>23.416036999999999</v>
      </c>
      <c r="L327" s="3">
        <v>1990</v>
      </c>
      <c r="M327" s="3">
        <v>-0.30363655000000001</v>
      </c>
      <c r="N327" s="3" t="s">
        <v>20</v>
      </c>
    </row>
    <row r="328" spans="1:14" x14ac:dyDescent="0.3">
      <c r="A328" s="3">
        <v>25.949259999999999</v>
      </c>
      <c r="B328" s="3">
        <v>1991</v>
      </c>
      <c r="C328" s="3">
        <v>-0.51746559999999997</v>
      </c>
      <c r="D328" s="3" t="s">
        <v>20</v>
      </c>
      <c r="E328" s="3"/>
      <c r="F328" s="3">
        <v>28.625032000000001</v>
      </c>
      <c r="G328" s="3">
        <v>1991</v>
      </c>
      <c r="H328" s="3">
        <v>-0.58874510000000002</v>
      </c>
      <c r="I328" s="3" t="s">
        <v>20</v>
      </c>
      <c r="J328" s="3"/>
      <c r="K328" s="3">
        <v>23.273489999999999</v>
      </c>
      <c r="L328" s="3">
        <v>1991</v>
      </c>
      <c r="M328" s="3">
        <v>-0.44618225</v>
      </c>
      <c r="N328" s="3" t="s">
        <v>20</v>
      </c>
    </row>
    <row r="329" spans="1:14" x14ac:dyDescent="0.3">
      <c r="A329" s="3">
        <v>25.859445999999998</v>
      </c>
      <c r="B329" s="3">
        <v>1992</v>
      </c>
      <c r="C329" s="3">
        <v>-0.60728073000000005</v>
      </c>
      <c r="D329" s="3" t="s">
        <v>20</v>
      </c>
      <c r="E329" s="3"/>
      <c r="F329" s="3">
        <v>28.447609</v>
      </c>
      <c r="G329" s="3">
        <v>1992</v>
      </c>
      <c r="H329" s="3">
        <v>-0.76616859999999998</v>
      </c>
      <c r="I329" s="3" t="s">
        <v>20</v>
      </c>
      <c r="J329" s="3"/>
      <c r="K329" s="3">
        <v>23.271284000000001</v>
      </c>
      <c r="L329" s="3">
        <v>1992</v>
      </c>
      <c r="M329" s="3">
        <v>-0.44838905000000001</v>
      </c>
      <c r="N329" s="3" t="s">
        <v>20</v>
      </c>
    </row>
    <row r="330" spans="1:14" x14ac:dyDescent="0.3">
      <c r="A330" s="3">
        <v>26.275154000000001</v>
      </c>
      <c r="B330" s="3">
        <v>1993</v>
      </c>
      <c r="C330" s="3">
        <v>-0.19157219</v>
      </c>
      <c r="D330" s="3" t="s">
        <v>20</v>
      </c>
      <c r="E330" s="3"/>
      <c r="F330" s="3">
        <v>29.158978000000001</v>
      </c>
      <c r="G330" s="3">
        <v>1993</v>
      </c>
      <c r="H330" s="3">
        <v>-5.4800033999999997E-2</v>
      </c>
      <c r="I330" s="3" t="s">
        <v>20</v>
      </c>
      <c r="J330" s="3"/>
      <c r="K330" s="3">
        <v>23.39133</v>
      </c>
      <c r="L330" s="3">
        <v>1993</v>
      </c>
      <c r="M330" s="3">
        <v>-0.32834244000000001</v>
      </c>
      <c r="N330" s="3" t="s">
        <v>20</v>
      </c>
    </row>
    <row r="331" spans="1:14" x14ac:dyDescent="0.3">
      <c r="A331" s="3">
        <v>25.951550000000001</v>
      </c>
      <c r="B331" s="3">
        <v>1994</v>
      </c>
      <c r="C331" s="3">
        <v>-0.51517679999999999</v>
      </c>
      <c r="D331" s="3" t="s">
        <v>20</v>
      </c>
      <c r="E331" s="3"/>
      <c r="F331" s="3">
        <v>28.643322000000001</v>
      </c>
      <c r="G331" s="3">
        <v>1994</v>
      </c>
      <c r="H331" s="3">
        <v>-0.57045555000000003</v>
      </c>
      <c r="I331" s="3" t="s">
        <v>20</v>
      </c>
      <c r="J331" s="3"/>
      <c r="K331" s="3">
        <v>23.259777</v>
      </c>
      <c r="L331" s="3">
        <v>1994</v>
      </c>
      <c r="M331" s="3">
        <v>-0.45989609999999997</v>
      </c>
      <c r="N331" s="3" t="s">
        <v>20</v>
      </c>
    </row>
    <row r="332" spans="1:14" x14ac:dyDescent="0.3">
      <c r="A332" s="3">
        <v>26.128011999999998</v>
      </c>
      <c r="B332" s="3">
        <v>1995</v>
      </c>
      <c r="C332" s="3">
        <v>-0.33871459999999998</v>
      </c>
      <c r="D332" s="3" t="s">
        <v>20</v>
      </c>
      <c r="E332" s="3"/>
      <c r="F332" s="3">
        <v>28.923285</v>
      </c>
      <c r="G332" s="3">
        <v>1995</v>
      </c>
      <c r="H332" s="3">
        <v>-0.290493</v>
      </c>
      <c r="I332" s="3" t="s">
        <v>20</v>
      </c>
      <c r="J332" s="3"/>
      <c r="K332" s="3">
        <v>23.332737000000002</v>
      </c>
      <c r="L332" s="3">
        <v>1995</v>
      </c>
      <c r="M332" s="3">
        <v>-0.38693620000000001</v>
      </c>
      <c r="N332" s="3" t="s">
        <v>20</v>
      </c>
    </row>
    <row r="333" spans="1:14" x14ac:dyDescent="0.3">
      <c r="A333" s="3">
        <v>25.891048000000001</v>
      </c>
      <c r="B333" s="3">
        <v>1996</v>
      </c>
      <c r="C333" s="3">
        <v>-0.57567789999999996</v>
      </c>
      <c r="D333" s="3" t="s">
        <v>20</v>
      </c>
      <c r="E333" s="3"/>
      <c r="F333" s="3">
        <v>28.607980000000001</v>
      </c>
      <c r="G333" s="3">
        <v>1996</v>
      </c>
      <c r="H333" s="3">
        <v>-0.60579680000000002</v>
      </c>
      <c r="I333" s="3" t="s">
        <v>20</v>
      </c>
      <c r="J333" s="3"/>
      <c r="K333" s="3">
        <v>23.174118</v>
      </c>
      <c r="L333" s="3">
        <v>1996</v>
      </c>
      <c r="M333" s="3">
        <v>-0.54555509999999996</v>
      </c>
      <c r="N333" s="3" t="s">
        <v>20</v>
      </c>
    </row>
    <row r="334" spans="1:14" x14ac:dyDescent="0.3">
      <c r="A334" s="3">
        <v>26.998524</v>
      </c>
      <c r="B334" s="3">
        <v>1997</v>
      </c>
      <c r="C334" s="3">
        <v>0.53179739999999998</v>
      </c>
      <c r="D334" s="3" t="s">
        <v>20</v>
      </c>
      <c r="E334" s="3"/>
      <c r="F334" s="3">
        <v>29.906157</v>
      </c>
      <c r="G334" s="3">
        <v>1997</v>
      </c>
      <c r="H334" s="3">
        <v>0.69237899999999997</v>
      </c>
      <c r="I334" s="3" t="s">
        <v>20</v>
      </c>
      <c r="J334" s="3"/>
      <c r="K334" s="3">
        <v>24.090893000000001</v>
      </c>
      <c r="L334" s="3">
        <v>1997</v>
      </c>
      <c r="M334" s="3">
        <v>0.37121964000000002</v>
      </c>
      <c r="N334" s="3" t="s">
        <v>20</v>
      </c>
    </row>
    <row r="335" spans="1:14" x14ac:dyDescent="0.3">
      <c r="A335" s="3">
        <v>26.282194</v>
      </c>
      <c r="B335" s="3">
        <v>1998</v>
      </c>
      <c r="C335" s="3">
        <v>-0.18453217</v>
      </c>
      <c r="D335" s="3" t="s">
        <v>20</v>
      </c>
      <c r="E335" s="3"/>
      <c r="F335" s="3">
        <v>28.986204000000001</v>
      </c>
      <c r="G335" s="3">
        <v>1998</v>
      </c>
      <c r="H335" s="3">
        <v>-0.22757340000000001</v>
      </c>
      <c r="I335" s="3" t="s">
        <v>20</v>
      </c>
      <c r="J335" s="3"/>
      <c r="K335" s="3">
        <v>23.578188000000001</v>
      </c>
      <c r="L335" s="3">
        <v>1998</v>
      </c>
      <c r="M335" s="3">
        <v>-0.14148521</v>
      </c>
      <c r="N335" s="3" t="s">
        <v>20</v>
      </c>
    </row>
    <row r="336" spans="1:14" x14ac:dyDescent="0.3">
      <c r="A336" s="3">
        <v>25.748873</v>
      </c>
      <c r="B336" s="3">
        <v>1999</v>
      </c>
      <c r="C336" s="3">
        <v>-0.71785354999999995</v>
      </c>
      <c r="D336" s="3" t="s">
        <v>20</v>
      </c>
      <c r="E336" s="3"/>
      <c r="F336" s="3">
        <v>28.474985</v>
      </c>
      <c r="G336" s="3">
        <v>1999</v>
      </c>
      <c r="H336" s="3">
        <v>-0.73879240000000002</v>
      </c>
      <c r="I336" s="3" t="s">
        <v>20</v>
      </c>
      <c r="J336" s="3"/>
      <c r="K336" s="3">
        <v>23.022762</v>
      </c>
      <c r="L336" s="3">
        <v>1999</v>
      </c>
      <c r="M336" s="3">
        <v>-0.69691086000000002</v>
      </c>
      <c r="N336" s="3" t="s">
        <v>20</v>
      </c>
    </row>
    <row r="337" spans="1:14" x14ac:dyDescent="0.3">
      <c r="A337" s="3">
        <v>26.0242</v>
      </c>
      <c r="B337" s="3">
        <v>2000</v>
      </c>
      <c r="C337" s="3">
        <v>-0.44252585999999999</v>
      </c>
      <c r="D337" s="3" t="s">
        <v>20</v>
      </c>
      <c r="E337" s="3"/>
      <c r="F337" s="3">
        <v>28.821870000000001</v>
      </c>
      <c r="G337" s="3">
        <v>2000</v>
      </c>
      <c r="H337" s="3">
        <v>-0.39190673999999998</v>
      </c>
      <c r="I337" s="3" t="s">
        <v>20</v>
      </c>
      <c r="J337" s="3"/>
      <c r="K337" s="3">
        <v>23.226534000000001</v>
      </c>
      <c r="L337" s="3">
        <v>2000</v>
      </c>
      <c r="M337" s="3">
        <v>-0.49313927000000002</v>
      </c>
      <c r="N337" s="3" t="s">
        <v>20</v>
      </c>
    </row>
    <row r="338" spans="1:14" x14ac:dyDescent="0.3">
      <c r="A338" s="3">
        <v>26.597090000000001</v>
      </c>
      <c r="B338" s="3">
        <v>2001</v>
      </c>
      <c r="C338" s="3">
        <v>0.13036345999999999</v>
      </c>
      <c r="D338" s="3" t="s">
        <v>20</v>
      </c>
      <c r="E338" s="3"/>
      <c r="F338" s="3">
        <v>29.581033999999999</v>
      </c>
      <c r="G338" s="3">
        <v>2001</v>
      </c>
      <c r="H338" s="3">
        <v>0.36725616</v>
      </c>
      <c r="I338" s="3" t="s">
        <v>20</v>
      </c>
      <c r="J338" s="3"/>
      <c r="K338" s="3">
        <v>23.613147999999999</v>
      </c>
      <c r="L338" s="3">
        <v>2001</v>
      </c>
      <c r="M338" s="3">
        <v>-0.10652542</v>
      </c>
      <c r="N338" s="3" t="s">
        <v>20</v>
      </c>
    </row>
    <row r="339" spans="1:14" x14ac:dyDescent="0.3">
      <c r="A339" s="3">
        <v>26.450790000000001</v>
      </c>
      <c r="B339" s="3">
        <v>2002</v>
      </c>
      <c r="C339" s="3">
        <v>-1.5935898E-2</v>
      </c>
      <c r="D339" s="3" t="s">
        <v>20</v>
      </c>
      <c r="E339" s="3"/>
      <c r="F339" s="3">
        <v>29.401543</v>
      </c>
      <c r="G339" s="3">
        <v>2002</v>
      </c>
      <c r="H339" s="3">
        <v>0.18776512000000001</v>
      </c>
      <c r="I339" s="3" t="s">
        <v>20</v>
      </c>
      <c r="J339" s="3"/>
      <c r="K339" s="3">
        <v>23.500032000000001</v>
      </c>
      <c r="L339" s="3">
        <v>2002</v>
      </c>
      <c r="M339" s="3">
        <v>-0.21964073000000001</v>
      </c>
      <c r="N339" s="3" t="s">
        <v>20</v>
      </c>
    </row>
    <row r="340" spans="1:14" x14ac:dyDescent="0.3">
      <c r="A340" s="3">
        <v>26.17399</v>
      </c>
      <c r="B340" s="3">
        <v>2003</v>
      </c>
      <c r="C340" s="3">
        <v>-0.29273605000000003</v>
      </c>
      <c r="D340" s="3" t="s">
        <v>20</v>
      </c>
      <c r="E340" s="3"/>
      <c r="F340" s="3">
        <v>28.864142999999999</v>
      </c>
      <c r="G340" s="3">
        <v>2003</v>
      </c>
      <c r="H340" s="3">
        <v>-0.34963417000000002</v>
      </c>
      <c r="I340" s="3" t="s">
        <v>20</v>
      </c>
      <c r="J340" s="3"/>
      <c r="K340" s="3">
        <v>23.483837000000001</v>
      </c>
      <c r="L340" s="3">
        <v>2003</v>
      </c>
      <c r="M340" s="3">
        <v>-0.23583603</v>
      </c>
      <c r="N340" s="3" t="s">
        <v>20</v>
      </c>
    </row>
    <row r="341" spans="1:14" x14ac:dyDescent="0.3">
      <c r="A341" s="3">
        <v>26.608978</v>
      </c>
      <c r="B341" s="3">
        <v>2004</v>
      </c>
      <c r="C341" s="3">
        <v>0.14225197000000001</v>
      </c>
      <c r="D341" s="3" t="s">
        <v>20</v>
      </c>
      <c r="E341" s="3"/>
      <c r="F341" s="3">
        <v>29.248875000000002</v>
      </c>
      <c r="G341" s="3">
        <v>2004</v>
      </c>
      <c r="H341" s="3">
        <v>3.5097122000000001E-2</v>
      </c>
      <c r="I341" s="3" t="s">
        <v>20</v>
      </c>
      <c r="J341" s="3"/>
      <c r="K341" s="3">
        <v>23.969083999999999</v>
      </c>
      <c r="L341" s="3">
        <v>2004</v>
      </c>
      <c r="M341" s="3">
        <v>0.24941062999999999</v>
      </c>
      <c r="N341" s="3" t="s">
        <v>20</v>
      </c>
    </row>
    <row r="342" spans="1:14" x14ac:dyDescent="0.3">
      <c r="A342" s="3">
        <v>26.668049</v>
      </c>
      <c r="B342" s="3">
        <v>2005</v>
      </c>
      <c r="C342" s="3">
        <v>0.20132256000000001</v>
      </c>
      <c r="D342" s="3" t="s">
        <v>20</v>
      </c>
      <c r="E342" s="3"/>
      <c r="F342" s="3">
        <v>29.376791000000001</v>
      </c>
      <c r="G342" s="3">
        <v>2005</v>
      </c>
      <c r="H342" s="3">
        <v>0.16301346</v>
      </c>
      <c r="I342" s="3" t="s">
        <v>20</v>
      </c>
      <c r="J342" s="3"/>
      <c r="K342" s="3">
        <v>23.959309000000001</v>
      </c>
      <c r="L342" s="3">
        <v>2005</v>
      </c>
      <c r="M342" s="3">
        <v>0.23963546999999999</v>
      </c>
      <c r="N342" s="3" t="s">
        <v>20</v>
      </c>
    </row>
    <row r="343" spans="1:14" x14ac:dyDescent="0.3">
      <c r="A343" s="3">
        <v>26.793682</v>
      </c>
      <c r="B343" s="3">
        <v>2006</v>
      </c>
      <c r="C343" s="3">
        <v>0.32695580000000002</v>
      </c>
      <c r="D343" s="3" t="s">
        <v>20</v>
      </c>
      <c r="E343" s="3"/>
      <c r="F343" s="3">
        <v>29.591919000000001</v>
      </c>
      <c r="G343" s="3">
        <v>2006</v>
      </c>
      <c r="H343" s="3">
        <v>0.37814140000000002</v>
      </c>
      <c r="I343" s="3" t="s">
        <v>20</v>
      </c>
      <c r="J343" s="3"/>
      <c r="K343" s="3">
        <v>23.995445</v>
      </c>
      <c r="L343" s="3">
        <v>2006</v>
      </c>
      <c r="M343" s="3">
        <v>0.27577210000000002</v>
      </c>
      <c r="N343" s="3" t="s">
        <v>20</v>
      </c>
    </row>
    <row r="344" spans="1:14" x14ac:dyDescent="0.3">
      <c r="A344" s="3">
        <v>26.220053</v>
      </c>
      <c r="B344" s="3">
        <v>2007</v>
      </c>
      <c r="C344" s="3">
        <v>-0.24667358</v>
      </c>
      <c r="D344" s="3" t="s">
        <v>20</v>
      </c>
      <c r="E344" s="3"/>
      <c r="F344" s="3">
        <v>28.841104999999999</v>
      </c>
      <c r="G344" s="3">
        <v>2007</v>
      </c>
      <c r="H344" s="3">
        <v>-0.37267303000000002</v>
      </c>
      <c r="I344" s="3" t="s">
        <v>20</v>
      </c>
      <c r="J344" s="3"/>
      <c r="K344" s="3">
        <v>23.598998999999999</v>
      </c>
      <c r="L344" s="3">
        <v>2007</v>
      </c>
      <c r="M344" s="3">
        <v>-0.12067413</v>
      </c>
      <c r="N344" s="3" t="s">
        <v>20</v>
      </c>
    </row>
    <row r="345" spans="1:14" x14ac:dyDescent="0.3">
      <c r="A345" s="3">
        <v>26.193145999999999</v>
      </c>
      <c r="B345" s="3">
        <v>2008</v>
      </c>
      <c r="C345" s="3">
        <v>-0.27358054999999998</v>
      </c>
      <c r="D345" s="3" t="s">
        <v>20</v>
      </c>
      <c r="E345" s="3"/>
      <c r="F345" s="3">
        <v>28.901395999999998</v>
      </c>
      <c r="G345" s="3">
        <v>2008</v>
      </c>
      <c r="H345" s="3">
        <v>-0.31238174000000002</v>
      </c>
      <c r="I345" s="3" t="s">
        <v>20</v>
      </c>
      <c r="J345" s="3"/>
      <c r="K345" s="3">
        <v>23.4849</v>
      </c>
      <c r="L345" s="3">
        <v>2008</v>
      </c>
      <c r="M345" s="3">
        <v>-0.23477364000000001</v>
      </c>
      <c r="N345" s="3" t="s">
        <v>20</v>
      </c>
    </row>
    <row r="346" spans="1:14" x14ac:dyDescent="0.3">
      <c r="A346" s="3">
        <v>26.788741999999999</v>
      </c>
      <c r="B346" s="3">
        <v>2009</v>
      </c>
      <c r="C346" s="3">
        <v>0.32201575999999998</v>
      </c>
      <c r="D346" s="3" t="s">
        <v>20</v>
      </c>
      <c r="E346" s="3"/>
      <c r="F346" s="3">
        <v>29.49905</v>
      </c>
      <c r="G346" s="3">
        <v>2009</v>
      </c>
      <c r="H346" s="3">
        <v>0.28527259999999999</v>
      </c>
      <c r="I346" s="3" t="s">
        <v>20</v>
      </c>
      <c r="J346" s="3"/>
      <c r="K346" s="3">
        <v>24.078436</v>
      </c>
      <c r="L346" s="3">
        <v>2009</v>
      </c>
      <c r="M346" s="3">
        <v>0.35876274000000002</v>
      </c>
      <c r="N346" s="3" t="s">
        <v>20</v>
      </c>
    </row>
    <row r="347" spans="1:14" x14ac:dyDescent="0.3">
      <c r="A347" s="3">
        <v>26.686305999999998</v>
      </c>
      <c r="B347" s="3">
        <v>2010</v>
      </c>
      <c r="C347" s="3">
        <v>0.21957969999999999</v>
      </c>
      <c r="D347" s="3" t="s">
        <v>20</v>
      </c>
      <c r="E347" s="3"/>
      <c r="F347" s="3">
        <v>29.319016000000001</v>
      </c>
      <c r="G347" s="3">
        <v>2010</v>
      </c>
      <c r="H347" s="3">
        <v>0.10523796000000001</v>
      </c>
      <c r="I347" s="3" t="s">
        <v>20</v>
      </c>
      <c r="J347" s="3"/>
      <c r="K347" s="3">
        <v>24.053598000000001</v>
      </c>
      <c r="L347" s="3">
        <v>2010</v>
      </c>
      <c r="M347" s="3">
        <v>0.33392525000000001</v>
      </c>
      <c r="N347" s="3" t="s">
        <v>20</v>
      </c>
    </row>
    <row r="348" spans="1:14" x14ac:dyDescent="0.3">
      <c r="A348" s="3">
        <v>26.705179999999999</v>
      </c>
      <c r="B348" s="3">
        <v>2011</v>
      </c>
      <c r="C348" s="3">
        <v>0.23845290999999999</v>
      </c>
      <c r="D348" s="3" t="s">
        <v>20</v>
      </c>
      <c r="E348" s="3"/>
      <c r="F348" s="3">
        <v>29.628532</v>
      </c>
      <c r="G348" s="3">
        <v>2011</v>
      </c>
      <c r="H348" s="3">
        <v>0.41475487</v>
      </c>
      <c r="I348" s="3" t="s">
        <v>20</v>
      </c>
      <c r="J348" s="3"/>
      <c r="K348" s="3">
        <v>23.781825999999999</v>
      </c>
      <c r="L348" s="3">
        <v>2011</v>
      </c>
      <c r="M348" s="3">
        <v>6.2152863000000003E-2</v>
      </c>
      <c r="N348" s="3" t="s">
        <v>20</v>
      </c>
    </row>
    <row r="349" spans="1:14" x14ac:dyDescent="0.3">
      <c r="A349" s="3">
        <v>26.638918</v>
      </c>
      <c r="B349" s="3">
        <v>2012</v>
      </c>
      <c r="C349" s="3">
        <v>0.17219161999999999</v>
      </c>
      <c r="D349" s="3" t="s">
        <v>20</v>
      </c>
      <c r="E349" s="3"/>
      <c r="F349" s="3">
        <v>29.543592</v>
      </c>
      <c r="G349" s="3">
        <v>2012</v>
      </c>
      <c r="H349" s="3">
        <v>0.32981490000000002</v>
      </c>
      <c r="I349" s="3" t="s">
        <v>20</v>
      </c>
      <c r="J349" s="3"/>
      <c r="K349" s="3">
        <v>23.734242999999999</v>
      </c>
      <c r="L349" s="3">
        <v>2012</v>
      </c>
      <c r="M349" s="3">
        <v>1.4570236E-2</v>
      </c>
      <c r="N349" s="3" t="s">
        <v>20</v>
      </c>
    </row>
    <row r="350" spans="1:14" x14ac:dyDescent="0.3">
      <c r="A350" s="3">
        <v>26.475232999999999</v>
      </c>
      <c r="B350" s="3">
        <v>2013</v>
      </c>
      <c r="C350" s="3">
        <v>8.5067749999999994E-3</v>
      </c>
      <c r="D350" s="3" t="s">
        <v>20</v>
      </c>
      <c r="E350" s="3"/>
      <c r="F350" s="3">
        <v>29.190871999999999</v>
      </c>
      <c r="G350" s="3">
        <v>2013</v>
      </c>
      <c r="H350" s="3">
        <v>-2.2905350000000001E-2</v>
      </c>
      <c r="I350" s="3" t="s">
        <v>20</v>
      </c>
      <c r="J350" s="3"/>
      <c r="K350" s="3">
        <v>23.759592000000001</v>
      </c>
      <c r="L350" s="3">
        <v>2013</v>
      </c>
      <c r="M350" s="3">
        <v>3.99189E-2</v>
      </c>
      <c r="N350" s="3" t="s">
        <v>20</v>
      </c>
    </row>
    <row r="351" spans="1:14" x14ac:dyDescent="0.3">
      <c r="A351" s="3">
        <v>26.664005</v>
      </c>
      <c r="B351" s="3">
        <v>2014</v>
      </c>
      <c r="C351" s="3">
        <v>0.19727897999999999</v>
      </c>
      <c r="D351" s="3" t="s">
        <v>20</v>
      </c>
      <c r="E351" s="3"/>
      <c r="F351" s="3">
        <v>29.442993000000001</v>
      </c>
      <c r="G351" s="3">
        <v>2014</v>
      </c>
      <c r="H351" s="3">
        <v>0.22921562000000001</v>
      </c>
      <c r="I351" s="3" t="s">
        <v>20</v>
      </c>
      <c r="J351" s="3"/>
      <c r="K351" s="3">
        <v>23.885017000000001</v>
      </c>
      <c r="L351" s="3">
        <v>2014</v>
      </c>
      <c r="M351" s="3">
        <v>0.16534424</v>
      </c>
      <c r="N351" s="3" t="s">
        <v>20</v>
      </c>
    </row>
    <row r="352" spans="1:14" x14ac:dyDescent="0.3">
      <c r="A352" s="3">
        <v>27.231681999999999</v>
      </c>
      <c r="B352" s="3">
        <v>2015</v>
      </c>
      <c r="C352" s="3">
        <v>0.76495550000000001</v>
      </c>
      <c r="D352" s="3" t="s">
        <v>20</v>
      </c>
      <c r="E352" s="3"/>
      <c r="F352" s="3">
        <v>29.893260999999999</v>
      </c>
      <c r="G352" s="3">
        <v>2015</v>
      </c>
      <c r="H352" s="3">
        <v>0.67948339999999996</v>
      </c>
      <c r="I352" s="3" t="s">
        <v>20</v>
      </c>
      <c r="J352" s="3"/>
      <c r="K352" s="3">
        <v>24.570097000000001</v>
      </c>
      <c r="L352" s="3">
        <v>2015</v>
      </c>
      <c r="M352" s="3">
        <v>0.85042379999999995</v>
      </c>
      <c r="N352" s="3" t="s">
        <v>20</v>
      </c>
    </row>
    <row r="353" spans="1:14" x14ac:dyDescent="0.3">
      <c r="A353" s="3">
        <v>27.031884999999999</v>
      </c>
      <c r="B353" s="3">
        <v>2016</v>
      </c>
      <c r="C353" s="3">
        <v>0.56515884000000005</v>
      </c>
      <c r="D353" s="3" t="s">
        <v>20</v>
      </c>
      <c r="E353" s="3"/>
      <c r="F353" s="3">
        <v>29.75902</v>
      </c>
      <c r="G353" s="3">
        <v>2016</v>
      </c>
      <c r="H353" s="3">
        <v>0.54524229999999996</v>
      </c>
      <c r="I353" s="3" t="s">
        <v>20</v>
      </c>
      <c r="J353" s="3"/>
      <c r="K353" s="3">
        <v>24.304749000000001</v>
      </c>
      <c r="L353" s="3">
        <v>2016</v>
      </c>
      <c r="M353" s="3">
        <v>0.58507540000000002</v>
      </c>
      <c r="N353" s="3" t="s">
        <v>20</v>
      </c>
    </row>
    <row r="354" spans="1:14" x14ac:dyDescent="0.3">
      <c r="A354" s="3">
        <v>26.755455000000001</v>
      </c>
      <c r="B354" s="3">
        <v>2017</v>
      </c>
      <c r="C354" s="3">
        <v>0.2887287</v>
      </c>
      <c r="D354" s="3" t="s">
        <v>20</v>
      </c>
      <c r="E354" s="3"/>
      <c r="F354" s="3">
        <v>29.463363999999999</v>
      </c>
      <c r="G354" s="3">
        <v>2017</v>
      </c>
      <c r="H354" s="3">
        <v>0.24958610000000001</v>
      </c>
      <c r="I354" s="3" t="s">
        <v>20</v>
      </c>
      <c r="J354" s="3"/>
      <c r="K354" s="3">
        <v>24.047546000000001</v>
      </c>
      <c r="L354" s="3">
        <v>2017</v>
      </c>
      <c r="M354" s="3">
        <v>0.32787323000000002</v>
      </c>
      <c r="N354" s="3" t="s">
        <v>20</v>
      </c>
    </row>
    <row r="355" spans="1:14" x14ac:dyDescent="0.3">
      <c r="A355" s="3">
        <v>26.666820000000001</v>
      </c>
      <c r="B355" s="3">
        <v>2018</v>
      </c>
      <c r="C355" s="3">
        <v>0.20009421999999999</v>
      </c>
      <c r="D355" s="3" t="s">
        <v>20</v>
      </c>
      <c r="E355" s="3"/>
      <c r="F355" s="3">
        <v>29.451681000000001</v>
      </c>
      <c r="G355" s="3">
        <v>2018</v>
      </c>
      <c r="H355" s="3">
        <v>0.23790359999999999</v>
      </c>
      <c r="I355" s="3" t="s">
        <v>20</v>
      </c>
      <c r="J355" s="3"/>
      <c r="K355" s="3">
        <v>23.881958000000001</v>
      </c>
      <c r="L355" s="3">
        <v>2018</v>
      </c>
      <c r="M355" s="3">
        <v>0.16228485000000001</v>
      </c>
      <c r="N355" s="3" t="s">
        <v>20</v>
      </c>
    </row>
    <row r="356" spans="1:14" x14ac:dyDescent="0.3">
      <c r="A356" s="3">
        <v>26.893515000000001</v>
      </c>
      <c r="B356" s="3">
        <v>2019</v>
      </c>
      <c r="C356" s="3">
        <v>0.42678832999999999</v>
      </c>
      <c r="D356" s="3" t="s">
        <v>20</v>
      </c>
      <c r="E356" s="3"/>
      <c r="F356" s="3">
        <v>29.530432000000001</v>
      </c>
      <c r="G356" s="3">
        <v>2019</v>
      </c>
      <c r="H356" s="3">
        <v>0.3166542</v>
      </c>
      <c r="I356" s="3" t="s">
        <v>20</v>
      </c>
      <c r="J356" s="3"/>
      <c r="K356" s="3">
        <v>24.256595999999998</v>
      </c>
      <c r="L356" s="3">
        <v>2019</v>
      </c>
      <c r="M356" s="3">
        <v>0.53692245000000005</v>
      </c>
      <c r="N356" s="3" t="s">
        <v>20</v>
      </c>
    </row>
    <row r="357" spans="1:14" x14ac:dyDescent="0.3">
      <c r="A357" s="3">
        <v>26.650015</v>
      </c>
      <c r="B357" s="3">
        <v>2020</v>
      </c>
      <c r="C357" s="3">
        <v>0.18328857000000001</v>
      </c>
      <c r="D357" s="3" t="s">
        <v>20</v>
      </c>
      <c r="E357" s="3"/>
      <c r="F357" s="3">
        <v>29.289304999999999</v>
      </c>
      <c r="G357" s="3">
        <v>2020</v>
      </c>
      <c r="H357" s="3">
        <v>7.5527189999999994E-2</v>
      </c>
      <c r="I357" s="3" t="s">
        <v>20</v>
      </c>
      <c r="J357" s="3"/>
      <c r="K357" s="3">
        <v>24.010725000000001</v>
      </c>
      <c r="L357" s="3">
        <v>2020</v>
      </c>
      <c r="M357" s="3">
        <v>0.29105186</v>
      </c>
      <c r="N357" s="3" t="s">
        <v>20</v>
      </c>
    </row>
    <row r="358" spans="1:14" x14ac:dyDescent="0.3">
      <c r="A358" s="3">
        <v>26.389267</v>
      </c>
      <c r="B358" s="3">
        <v>2021</v>
      </c>
      <c r="C358" s="3">
        <v>-7.7459335000000004E-2</v>
      </c>
      <c r="D358" s="3" t="s">
        <v>20</v>
      </c>
      <c r="E358" s="3"/>
      <c r="F358" s="3">
        <v>29.015360000000001</v>
      </c>
      <c r="G358" s="3">
        <v>2021</v>
      </c>
      <c r="H358" s="3">
        <v>-0.19841766</v>
      </c>
      <c r="I358" s="3" t="s">
        <v>20</v>
      </c>
      <c r="J358" s="3"/>
      <c r="K358" s="3">
        <v>23.763173999999999</v>
      </c>
      <c r="L358" s="3">
        <v>2021</v>
      </c>
      <c r="M358" s="3">
        <v>4.3500900000000002E-2</v>
      </c>
      <c r="N358" s="3" t="s">
        <v>20</v>
      </c>
    </row>
    <row r="359" spans="1:14" x14ac:dyDescent="0.3">
      <c r="A359" s="3">
        <v>26.427849999999999</v>
      </c>
      <c r="B359" s="3">
        <v>2022</v>
      </c>
      <c r="C359" s="3">
        <v>-3.887558E-2</v>
      </c>
      <c r="D359" s="3" t="s">
        <v>20</v>
      </c>
      <c r="E359" s="3"/>
      <c r="F359" s="3">
        <v>29.103134000000001</v>
      </c>
      <c r="G359" s="3">
        <v>2022</v>
      </c>
      <c r="H359" s="3">
        <v>-0.11064338999999999</v>
      </c>
      <c r="I359" s="3" t="s">
        <v>20</v>
      </c>
      <c r="J359" s="3"/>
      <c r="K359" s="3">
        <v>23.752565000000001</v>
      </c>
      <c r="L359" s="3">
        <v>2022</v>
      </c>
      <c r="M359" s="3">
        <v>3.2892227000000003E-2</v>
      </c>
      <c r="N359" s="3" t="s">
        <v>20</v>
      </c>
    </row>
    <row r="360" spans="1:14" x14ac:dyDescent="0.3">
      <c r="A360" s="3">
        <v>27.437000000000001</v>
      </c>
      <c r="B360" s="3">
        <v>2023</v>
      </c>
      <c r="C360" s="3">
        <v>0.97027399999999997</v>
      </c>
      <c r="D360" s="3" t="s">
        <v>20</v>
      </c>
      <c r="E360" s="3"/>
      <c r="F360" s="3">
        <v>30.239538</v>
      </c>
      <c r="G360" s="3">
        <v>2023</v>
      </c>
      <c r="H360" s="3">
        <v>1.0257607</v>
      </c>
      <c r="I360" s="3" t="s">
        <v>20</v>
      </c>
      <c r="J360" s="3"/>
      <c r="K360" s="3">
        <v>24.634460000000001</v>
      </c>
      <c r="L360" s="3">
        <v>2023</v>
      </c>
      <c r="M360" s="3">
        <v>0.91478729999999997</v>
      </c>
      <c r="N360" s="3" t="s">
        <v>20</v>
      </c>
    </row>
    <row r="361" spans="1:14" x14ac:dyDescent="0.3">
      <c r="A361" s="3">
        <v>27.026888</v>
      </c>
      <c r="B361" s="3">
        <v>2024</v>
      </c>
      <c r="C361" s="3">
        <v>0.56016160000000004</v>
      </c>
      <c r="D361" s="3" t="s">
        <v>20</v>
      </c>
      <c r="E361" s="3"/>
      <c r="F361" s="3">
        <v>29.780557999999999</v>
      </c>
      <c r="G361" s="3">
        <v>2024</v>
      </c>
      <c r="H361" s="3">
        <v>0.56678010000000001</v>
      </c>
      <c r="I361" s="3" t="s">
        <v>20</v>
      </c>
      <c r="J361" s="3"/>
      <c r="K361" s="3">
        <v>24.273219999999998</v>
      </c>
      <c r="L361" s="3">
        <v>2024</v>
      </c>
      <c r="M361" s="3">
        <v>0.55354689999999995</v>
      </c>
      <c r="N361" s="3" t="s">
        <v>20</v>
      </c>
    </row>
    <row r="362" spans="1:14" x14ac:dyDescent="0.3">
      <c r="A362" s="3">
        <v>26.386669999999999</v>
      </c>
      <c r="B362" s="3">
        <v>2025</v>
      </c>
      <c r="C362" s="3">
        <v>-8.0057143999999997E-2</v>
      </c>
      <c r="D362" s="3" t="s">
        <v>20</v>
      </c>
      <c r="E362" s="3"/>
      <c r="F362" s="3">
        <v>29.145648999999999</v>
      </c>
      <c r="G362" s="3">
        <v>2025</v>
      </c>
      <c r="H362" s="3">
        <v>-6.8128586000000005E-2</v>
      </c>
      <c r="I362" s="3" t="s">
        <v>20</v>
      </c>
      <c r="J362" s="3"/>
      <c r="K362" s="3">
        <v>23.627690999999999</v>
      </c>
      <c r="L362" s="3">
        <v>2025</v>
      </c>
      <c r="M362" s="3">
        <v>-9.1981889999999997E-2</v>
      </c>
      <c r="N362" s="3" t="s">
        <v>20</v>
      </c>
    </row>
    <row r="363" spans="1:14" x14ac:dyDescent="0.3">
      <c r="A363" s="3">
        <v>25.667168</v>
      </c>
      <c r="B363" s="3">
        <v>1981</v>
      </c>
      <c r="C363" s="3">
        <v>-0.49141311999999998</v>
      </c>
      <c r="D363" s="3" t="s">
        <v>21</v>
      </c>
      <c r="E363" s="3"/>
      <c r="F363" s="3">
        <v>28.447279999999999</v>
      </c>
      <c r="G363" s="3">
        <v>1981</v>
      </c>
      <c r="H363" s="3">
        <v>-0.46561049999999998</v>
      </c>
      <c r="I363" s="3" t="s">
        <v>21</v>
      </c>
      <c r="J363" s="3"/>
      <c r="K363" s="3">
        <v>22.887053999999999</v>
      </c>
      <c r="L363" s="3">
        <v>1981</v>
      </c>
      <c r="M363" s="3">
        <v>-0.51721569999999994</v>
      </c>
      <c r="N363" s="3" t="s">
        <v>21</v>
      </c>
    </row>
    <row r="364" spans="1:14" x14ac:dyDescent="0.3">
      <c r="A364" s="3">
        <v>25.698181000000002</v>
      </c>
      <c r="B364" s="3">
        <v>1982</v>
      </c>
      <c r="C364" s="3">
        <v>-0.46039963</v>
      </c>
      <c r="D364" s="3" t="s">
        <v>21</v>
      </c>
      <c r="E364" s="3"/>
      <c r="F364" s="3">
        <v>28.323599999999999</v>
      </c>
      <c r="G364" s="3">
        <v>1982</v>
      </c>
      <c r="H364" s="3">
        <v>-0.5892906</v>
      </c>
      <c r="I364" s="3" t="s">
        <v>21</v>
      </c>
      <c r="J364" s="3"/>
      <c r="K364" s="3">
        <v>23.072762000000001</v>
      </c>
      <c r="L364" s="3">
        <v>1982</v>
      </c>
      <c r="M364" s="3">
        <v>-0.33150864000000002</v>
      </c>
      <c r="N364" s="3" t="s">
        <v>21</v>
      </c>
    </row>
    <row r="365" spans="1:14" x14ac:dyDescent="0.3">
      <c r="A365" s="3">
        <v>25.562887</v>
      </c>
      <c r="B365" s="3">
        <v>1983</v>
      </c>
      <c r="C365" s="3">
        <v>-0.59569360000000005</v>
      </c>
      <c r="D365" s="3" t="s">
        <v>21</v>
      </c>
      <c r="E365" s="3"/>
      <c r="F365" s="3">
        <v>28.215154999999999</v>
      </c>
      <c r="G365" s="3">
        <v>1983</v>
      </c>
      <c r="H365" s="3">
        <v>-0.69773673999999997</v>
      </c>
      <c r="I365" s="3" t="s">
        <v>21</v>
      </c>
      <c r="J365" s="3"/>
      <c r="K365" s="3">
        <v>22.910617999999999</v>
      </c>
      <c r="L365" s="3">
        <v>1983</v>
      </c>
      <c r="M365" s="3">
        <v>-0.49365234000000002</v>
      </c>
      <c r="N365" s="3" t="s">
        <v>21</v>
      </c>
    </row>
    <row r="366" spans="1:14" x14ac:dyDescent="0.3">
      <c r="A366" s="3">
        <v>24.957229999999999</v>
      </c>
      <c r="B366" s="3">
        <v>1984</v>
      </c>
      <c r="C366" s="3">
        <v>-1.2013512</v>
      </c>
      <c r="D366" s="3" t="s">
        <v>21</v>
      </c>
      <c r="E366" s="3"/>
      <c r="F366" s="3">
        <v>27.568321000000001</v>
      </c>
      <c r="G366" s="3">
        <v>1984</v>
      </c>
      <c r="H366" s="3">
        <v>-1.3445701999999999</v>
      </c>
      <c r="I366" s="3" t="s">
        <v>21</v>
      </c>
      <c r="J366" s="3"/>
      <c r="K366" s="3">
        <v>22.346139999999998</v>
      </c>
      <c r="L366" s="3">
        <v>1984</v>
      </c>
      <c r="M366" s="3">
        <v>-1.0581303</v>
      </c>
      <c r="N366" s="3" t="s">
        <v>21</v>
      </c>
    </row>
    <row r="367" spans="1:14" x14ac:dyDescent="0.3">
      <c r="A367" s="3">
        <v>25.334463</v>
      </c>
      <c r="B367" s="3">
        <v>1985</v>
      </c>
      <c r="C367" s="3">
        <v>-0.82411765999999997</v>
      </c>
      <c r="D367" s="3" t="s">
        <v>21</v>
      </c>
      <c r="E367" s="3"/>
      <c r="F367" s="3">
        <v>28.098621000000001</v>
      </c>
      <c r="G367" s="3">
        <v>1985</v>
      </c>
      <c r="H367" s="3">
        <v>-0.81427000000000005</v>
      </c>
      <c r="I367" s="3" t="s">
        <v>21</v>
      </c>
      <c r="J367" s="3"/>
      <c r="K367" s="3">
        <v>22.570302999999999</v>
      </c>
      <c r="L367" s="3">
        <v>1985</v>
      </c>
      <c r="M367" s="3">
        <v>-0.83396720000000002</v>
      </c>
      <c r="N367" s="3" t="s">
        <v>21</v>
      </c>
    </row>
    <row r="368" spans="1:14" x14ac:dyDescent="0.3">
      <c r="A368" s="3">
        <v>25.531544</v>
      </c>
      <c r="B368" s="3">
        <v>1986</v>
      </c>
      <c r="C368" s="3">
        <v>-0.62703704999999998</v>
      </c>
      <c r="D368" s="3" t="s">
        <v>21</v>
      </c>
      <c r="E368" s="3"/>
      <c r="F368" s="3">
        <v>28.268523999999999</v>
      </c>
      <c r="G368" s="3">
        <v>1986</v>
      </c>
      <c r="H368" s="3">
        <v>-0.64436720000000003</v>
      </c>
      <c r="I368" s="3" t="s">
        <v>21</v>
      </c>
      <c r="J368" s="3"/>
      <c r="K368" s="3">
        <v>22.794563</v>
      </c>
      <c r="L368" s="3">
        <v>1986</v>
      </c>
      <c r="M368" s="3">
        <v>-0.60970690000000005</v>
      </c>
      <c r="N368" s="3" t="s">
        <v>21</v>
      </c>
    </row>
    <row r="369" spans="1:14" x14ac:dyDescent="0.3">
      <c r="A369" s="3">
        <v>26.109411000000001</v>
      </c>
      <c r="B369" s="3">
        <v>1987</v>
      </c>
      <c r="C369" s="3">
        <v>-4.9169539999999998E-2</v>
      </c>
      <c r="D369" s="3" t="s">
        <v>21</v>
      </c>
      <c r="E369" s="3"/>
      <c r="F369" s="3">
        <v>28.843567</v>
      </c>
      <c r="G369" s="3">
        <v>1987</v>
      </c>
      <c r="H369" s="3">
        <v>-6.9324490000000002E-2</v>
      </c>
      <c r="I369" s="3" t="s">
        <v>21</v>
      </c>
      <c r="J369" s="3"/>
      <c r="K369" s="3">
        <v>23.375254000000002</v>
      </c>
      <c r="L369" s="3">
        <v>1987</v>
      </c>
      <c r="M369" s="3">
        <v>-2.9016495E-2</v>
      </c>
      <c r="N369" s="3" t="s">
        <v>21</v>
      </c>
    </row>
    <row r="370" spans="1:14" x14ac:dyDescent="0.3">
      <c r="A370" s="3">
        <v>25.421555999999999</v>
      </c>
      <c r="B370" s="3">
        <v>1988</v>
      </c>
      <c r="C370" s="3">
        <v>-0.73702429999999997</v>
      </c>
      <c r="D370" s="3" t="s">
        <v>21</v>
      </c>
      <c r="E370" s="3"/>
      <c r="F370" s="3">
        <v>28.006975000000001</v>
      </c>
      <c r="G370" s="3">
        <v>1988</v>
      </c>
      <c r="H370" s="3">
        <v>-0.90591619999999995</v>
      </c>
      <c r="I370" s="3" t="s">
        <v>21</v>
      </c>
      <c r="J370" s="3"/>
      <c r="K370" s="3">
        <v>22.836141999999999</v>
      </c>
      <c r="L370" s="3">
        <v>1988</v>
      </c>
      <c r="M370" s="3">
        <v>-0.56812859999999998</v>
      </c>
      <c r="N370" s="3" t="s">
        <v>21</v>
      </c>
    </row>
    <row r="371" spans="1:14" x14ac:dyDescent="0.3">
      <c r="A371" s="3">
        <v>25.49831</v>
      </c>
      <c r="B371" s="3">
        <v>1989</v>
      </c>
      <c r="C371" s="3">
        <v>-0.66027069999999999</v>
      </c>
      <c r="D371" s="3" t="s">
        <v>21</v>
      </c>
      <c r="E371" s="3"/>
      <c r="F371" s="3">
        <v>28.179907</v>
      </c>
      <c r="G371" s="3">
        <v>1989</v>
      </c>
      <c r="H371" s="3">
        <v>-0.73298454000000002</v>
      </c>
      <c r="I371" s="3" t="s">
        <v>21</v>
      </c>
      <c r="J371" s="3"/>
      <c r="K371" s="3">
        <v>22.816713</v>
      </c>
      <c r="L371" s="3">
        <v>1989</v>
      </c>
      <c r="M371" s="3">
        <v>-0.58755683999999997</v>
      </c>
      <c r="N371" s="3" t="s">
        <v>21</v>
      </c>
    </row>
    <row r="372" spans="1:14" x14ac:dyDescent="0.3">
      <c r="A372" s="3">
        <v>25.760925</v>
      </c>
      <c r="B372" s="3">
        <v>1990</v>
      </c>
      <c r="C372" s="3">
        <v>-0.3976555</v>
      </c>
      <c r="D372" s="3" t="s">
        <v>21</v>
      </c>
      <c r="E372" s="3"/>
      <c r="F372" s="3">
        <v>28.528687999999999</v>
      </c>
      <c r="G372" s="3">
        <v>1990</v>
      </c>
      <c r="H372" s="3">
        <v>-0.38420295999999998</v>
      </c>
      <c r="I372" s="3" t="s">
        <v>21</v>
      </c>
      <c r="J372" s="3"/>
      <c r="K372" s="3">
        <v>22.993168000000001</v>
      </c>
      <c r="L372" s="3">
        <v>1990</v>
      </c>
      <c r="M372" s="3">
        <v>-0.41110229999999998</v>
      </c>
      <c r="N372" s="3" t="s">
        <v>21</v>
      </c>
    </row>
    <row r="373" spans="1:14" x14ac:dyDescent="0.3">
      <c r="A373" s="3">
        <v>25.698338</v>
      </c>
      <c r="B373" s="3">
        <v>1991</v>
      </c>
      <c r="C373" s="3">
        <v>-0.46024323</v>
      </c>
      <c r="D373" s="3" t="s">
        <v>21</v>
      </c>
      <c r="E373" s="3"/>
      <c r="F373" s="3">
        <v>28.334340000000001</v>
      </c>
      <c r="G373" s="3">
        <v>1991</v>
      </c>
      <c r="H373" s="3">
        <v>-0.57855224999999999</v>
      </c>
      <c r="I373" s="3" t="s">
        <v>21</v>
      </c>
      <c r="J373" s="3"/>
      <c r="K373" s="3">
        <v>23.062332000000001</v>
      </c>
      <c r="L373" s="3">
        <v>1991</v>
      </c>
      <c r="M373" s="3">
        <v>-0.34193802000000001</v>
      </c>
      <c r="N373" s="3" t="s">
        <v>21</v>
      </c>
    </row>
    <row r="374" spans="1:14" x14ac:dyDescent="0.3">
      <c r="A374" s="3">
        <v>25.333683000000001</v>
      </c>
      <c r="B374" s="3">
        <v>1992</v>
      </c>
      <c r="C374" s="3">
        <v>-0.82489776999999997</v>
      </c>
      <c r="D374" s="3" t="s">
        <v>21</v>
      </c>
      <c r="E374" s="3"/>
      <c r="F374" s="3">
        <v>27.92942</v>
      </c>
      <c r="G374" s="3">
        <v>1992</v>
      </c>
      <c r="H374" s="3">
        <v>-0.98347090000000004</v>
      </c>
      <c r="I374" s="3" t="s">
        <v>21</v>
      </c>
      <c r="J374" s="3"/>
      <c r="K374" s="3">
        <v>22.737939999999998</v>
      </c>
      <c r="L374" s="3">
        <v>1992</v>
      </c>
      <c r="M374" s="3">
        <v>-0.66633034000000002</v>
      </c>
      <c r="N374" s="3" t="s">
        <v>21</v>
      </c>
    </row>
    <row r="375" spans="1:14" x14ac:dyDescent="0.3">
      <c r="A375" s="3">
        <v>25.338982000000001</v>
      </c>
      <c r="B375" s="3">
        <v>1993</v>
      </c>
      <c r="C375" s="3">
        <v>-0.81959915000000005</v>
      </c>
      <c r="D375" s="3" t="s">
        <v>21</v>
      </c>
      <c r="E375" s="3"/>
      <c r="F375" s="3">
        <v>27.867896999999999</v>
      </c>
      <c r="G375" s="3">
        <v>1993</v>
      </c>
      <c r="H375" s="3">
        <v>-1.0449944</v>
      </c>
      <c r="I375" s="3" t="s">
        <v>21</v>
      </c>
      <c r="J375" s="3"/>
      <c r="K375" s="3">
        <v>22.81007</v>
      </c>
      <c r="L375" s="3">
        <v>1993</v>
      </c>
      <c r="M375" s="3">
        <v>-0.59420013000000005</v>
      </c>
      <c r="N375" s="3" t="s">
        <v>21</v>
      </c>
    </row>
    <row r="376" spans="1:14" x14ac:dyDescent="0.3">
      <c r="A376" s="3">
        <v>25.858812</v>
      </c>
      <c r="B376" s="3">
        <v>1994</v>
      </c>
      <c r="C376" s="3">
        <v>-0.29976845000000002</v>
      </c>
      <c r="D376" s="3" t="s">
        <v>21</v>
      </c>
      <c r="E376" s="3"/>
      <c r="F376" s="3">
        <v>28.465471000000001</v>
      </c>
      <c r="G376" s="3">
        <v>1994</v>
      </c>
      <c r="H376" s="3">
        <v>-0.44742011999999998</v>
      </c>
      <c r="I376" s="3" t="s">
        <v>21</v>
      </c>
      <c r="J376" s="3"/>
      <c r="K376" s="3">
        <v>23.25215</v>
      </c>
      <c r="L376" s="3">
        <v>1994</v>
      </c>
      <c r="M376" s="3">
        <v>-0.15212059</v>
      </c>
      <c r="N376" s="3" t="s">
        <v>21</v>
      </c>
    </row>
    <row r="377" spans="1:14" x14ac:dyDescent="0.3">
      <c r="A377" s="3">
        <v>25.878198999999999</v>
      </c>
      <c r="B377" s="3">
        <v>1995</v>
      </c>
      <c r="C377" s="3">
        <v>-0.28038215999999999</v>
      </c>
      <c r="D377" s="3" t="s">
        <v>21</v>
      </c>
      <c r="E377" s="3"/>
      <c r="F377" s="3">
        <v>28.573587</v>
      </c>
      <c r="G377" s="3">
        <v>1995</v>
      </c>
      <c r="H377" s="3">
        <v>-0.33930397000000001</v>
      </c>
      <c r="I377" s="3" t="s">
        <v>21</v>
      </c>
      <c r="J377" s="3"/>
      <c r="K377" s="3">
        <v>23.18281</v>
      </c>
      <c r="L377" s="3">
        <v>1995</v>
      </c>
      <c r="M377" s="3">
        <v>-0.22146034000000001</v>
      </c>
      <c r="N377" s="3" t="s">
        <v>21</v>
      </c>
    </row>
    <row r="378" spans="1:14" x14ac:dyDescent="0.3">
      <c r="A378" s="3">
        <v>25.940404999999998</v>
      </c>
      <c r="B378" s="3">
        <v>1996</v>
      </c>
      <c r="C378" s="3">
        <v>-0.21817589000000001</v>
      </c>
      <c r="D378" s="3" t="s">
        <v>21</v>
      </c>
      <c r="E378" s="3"/>
      <c r="F378" s="3">
        <v>28.772676000000001</v>
      </c>
      <c r="G378" s="3">
        <v>1996</v>
      </c>
      <c r="H378" s="3">
        <v>-0.14021491999999999</v>
      </c>
      <c r="I378" s="3" t="s">
        <v>21</v>
      </c>
      <c r="J378" s="3"/>
      <c r="K378" s="3">
        <v>23.108131</v>
      </c>
      <c r="L378" s="3">
        <v>1996</v>
      </c>
      <c r="M378" s="3">
        <v>-0.29613876</v>
      </c>
      <c r="N378" s="3" t="s">
        <v>21</v>
      </c>
    </row>
    <row r="379" spans="1:14" x14ac:dyDescent="0.3">
      <c r="A379" s="3">
        <v>26.341992999999999</v>
      </c>
      <c r="B379" s="3">
        <v>1997</v>
      </c>
      <c r="C379" s="3">
        <v>0.18341255000000001</v>
      </c>
      <c r="D379" s="3" t="s">
        <v>21</v>
      </c>
      <c r="E379" s="3"/>
      <c r="F379" s="3">
        <v>29.206339</v>
      </c>
      <c r="G379" s="3">
        <v>1997</v>
      </c>
      <c r="H379" s="3">
        <v>0.29344749999999997</v>
      </c>
      <c r="I379" s="3" t="s">
        <v>21</v>
      </c>
      <c r="J379" s="3"/>
      <c r="K379" s="3">
        <v>23.477647999999999</v>
      </c>
      <c r="L379" s="3">
        <v>1997</v>
      </c>
      <c r="M379" s="3">
        <v>7.3377609999999996E-2</v>
      </c>
      <c r="N379" s="3" t="s">
        <v>21</v>
      </c>
    </row>
    <row r="380" spans="1:14" x14ac:dyDescent="0.3">
      <c r="A380" s="3">
        <v>26.020927</v>
      </c>
      <c r="B380" s="3">
        <v>1998</v>
      </c>
      <c r="C380" s="3">
        <v>-0.13765335000000001</v>
      </c>
      <c r="D380" s="3" t="s">
        <v>21</v>
      </c>
      <c r="E380" s="3"/>
      <c r="F380" s="3">
        <v>28.784061000000001</v>
      </c>
      <c r="G380" s="3">
        <v>1998</v>
      </c>
      <c r="H380" s="3">
        <v>-0.12882995999999999</v>
      </c>
      <c r="I380" s="3" t="s">
        <v>21</v>
      </c>
      <c r="J380" s="3"/>
      <c r="K380" s="3">
        <v>23.257792999999999</v>
      </c>
      <c r="L380" s="3">
        <v>1998</v>
      </c>
      <c r="M380" s="3">
        <v>-0.14647674999999999</v>
      </c>
      <c r="N380" s="3" t="s">
        <v>21</v>
      </c>
    </row>
    <row r="381" spans="1:14" x14ac:dyDescent="0.3">
      <c r="A381" s="3">
        <v>25.319485</v>
      </c>
      <c r="B381" s="3">
        <v>1999</v>
      </c>
      <c r="C381" s="3">
        <v>-0.83909606999999997</v>
      </c>
      <c r="D381" s="3" t="s">
        <v>21</v>
      </c>
      <c r="E381" s="3"/>
      <c r="F381" s="3">
        <v>28.030476</v>
      </c>
      <c r="G381" s="3">
        <v>1999</v>
      </c>
      <c r="H381" s="3">
        <v>-0.88241579999999997</v>
      </c>
      <c r="I381" s="3" t="s">
        <v>21</v>
      </c>
      <c r="J381" s="3"/>
      <c r="K381" s="3">
        <v>22.608494</v>
      </c>
      <c r="L381" s="3">
        <v>1999</v>
      </c>
      <c r="M381" s="3">
        <v>-0.79577637000000001</v>
      </c>
      <c r="N381" s="3" t="s">
        <v>21</v>
      </c>
    </row>
    <row r="382" spans="1:14" x14ac:dyDescent="0.3">
      <c r="A382" s="3">
        <v>25.488432</v>
      </c>
      <c r="B382" s="3">
        <v>2000</v>
      </c>
      <c r="C382" s="3">
        <v>-0.67014885000000002</v>
      </c>
      <c r="D382" s="3" t="s">
        <v>21</v>
      </c>
      <c r="E382" s="3"/>
      <c r="F382" s="3">
        <v>28.282033999999999</v>
      </c>
      <c r="G382" s="3">
        <v>2000</v>
      </c>
      <c r="H382" s="3">
        <v>-0.63085747000000003</v>
      </c>
      <c r="I382" s="3" t="s">
        <v>21</v>
      </c>
      <c r="J382" s="3"/>
      <c r="K382" s="3">
        <v>22.69483</v>
      </c>
      <c r="L382" s="3">
        <v>2000</v>
      </c>
      <c r="M382" s="3">
        <v>-0.70944023000000001</v>
      </c>
      <c r="N382" s="3" t="s">
        <v>21</v>
      </c>
    </row>
    <row r="383" spans="1:14" x14ac:dyDescent="0.3">
      <c r="A383" s="3">
        <v>25.659018</v>
      </c>
      <c r="B383" s="3">
        <v>2001</v>
      </c>
      <c r="C383" s="3">
        <v>-0.49956321999999997</v>
      </c>
      <c r="D383" s="3" t="s">
        <v>21</v>
      </c>
      <c r="E383" s="3"/>
      <c r="F383" s="3">
        <v>28.513088</v>
      </c>
      <c r="G383" s="3">
        <v>2001</v>
      </c>
      <c r="H383" s="3">
        <v>-0.39980315999999999</v>
      </c>
      <c r="I383" s="3" t="s">
        <v>21</v>
      </c>
      <c r="J383" s="3"/>
      <c r="K383" s="3">
        <v>22.804945</v>
      </c>
      <c r="L383" s="3">
        <v>2001</v>
      </c>
      <c r="M383" s="3">
        <v>-0.5993252</v>
      </c>
      <c r="N383" s="3" t="s">
        <v>21</v>
      </c>
    </row>
    <row r="384" spans="1:14" x14ac:dyDescent="0.3">
      <c r="A384" s="3">
        <v>26.177417999999999</v>
      </c>
      <c r="B384" s="3">
        <v>2002</v>
      </c>
      <c r="C384" s="3">
        <v>1.8836974999999999E-2</v>
      </c>
      <c r="D384" s="3" t="s">
        <v>21</v>
      </c>
      <c r="E384" s="3"/>
      <c r="F384" s="3">
        <v>29.204756</v>
      </c>
      <c r="G384" s="3">
        <v>2002</v>
      </c>
      <c r="H384" s="3">
        <v>0.29186440000000002</v>
      </c>
      <c r="I384" s="3" t="s">
        <v>21</v>
      </c>
      <c r="J384" s="3"/>
      <c r="K384" s="3">
        <v>23.150075999999999</v>
      </c>
      <c r="L384" s="3">
        <v>2002</v>
      </c>
      <c r="M384" s="3">
        <v>-0.25419426000000001</v>
      </c>
      <c r="N384" s="3" t="s">
        <v>21</v>
      </c>
    </row>
    <row r="385" spans="1:14" x14ac:dyDescent="0.3">
      <c r="A385" s="3">
        <v>26.071966</v>
      </c>
      <c r="B385" s="3">
        <v>2003</v>
      </c>
      <c r="C385" s="3">
        <v>-8.6614609999999995E-2</v>
      </c>
      <c r="D385" s="3" t="s">
        <v>21</v>
      </c>
      <c r="E385" s="3"/>
      <c r="F385" s="3">
        <v>29.013687000000001</v>
      </c>
      <c r="G385" s="3">
        <v>2003</v>
      </c>
      <c r="H385" s="3">
        <v>0.10079574600000001</v>
      </c>
      <c r="I385" s="3" t="s">
        <v>21</v>
      </c>
      <c r="J385" s="3"/>
      <c r="K385" s="3">
        <v>23.130241000000002</v>
      </c>
      <c r="L385" s="3">
        <v>2003</v>
      </c>
      <c r="M385" s="3">
        <v>-0.27402878000000003</v>
      </c>
      <c r="N385" s="3" t="s">
        <v>21</v>
      </c>
    </row>
    <row r="386" spans="1:14" x14ac:dyDescent="0.3">
      <c r="A386" s="3">
        <v>26.180878</v>
      </c>
      <c r="B386" s="3">
        <v>2004</v>
      </c>
      <c r="C386" s="3">
        <v>2.2296905999999998E-2</v>
      </c>
      <c r="D386" s="3" t="s">
        <v>21</v>
      </c>
      <c r="E386" s="3"/>
      <c r="F386" s="3">
        <v>28.758476000000002</v>
      </c>
      <c r="G386" s="3">
        <v>2004</v>
      </c>
      <c r="H386" s="3">
        <v>-0.15441513000000001</v>
      </c>
      <c r="I386" s="3" t="s">
        <v>21</v>
      </c>
      <c r="J386" s="3"/>
      <c r="K386" s="3">
        <v>23.603283000000001</v>
      </c>
      <c r="L386" s="3">
        <v>2004</v>
      </c>
      <c r="M386" s="3">
        <v>0.19901276000000001</v>
      </c>
      <c r="N386" s="3" t="s">
        <v>21</v>
      </c>
    </row>
    <row r="387" spans="1:14" x14ac:dyDescent="0.3">
      <c r="A387" s="3">
        <v>26.386112000000001</v>
      </c>
      <c r="B387" s="3">
        <v>2005</v>
      </c>
      <c r="C387" s="3">
        <v>0.22753143000000001</v>
      </c>
      <c r="D387" s="3" t="s">
        <v>21</v>
      </c>
      <c r="E387" s="3"/>
      <c r="F387" s="3">
        <v>29.049568000000001</v>
      </c>
      <c r="G387" s="3">
        <v>2005</v>
      </c>
      <c r="H387" s="3">
        <v>0.13667678999999999</v>
      </c>
      <c r="I387" s="3" t="s">
        <v>21</v>
      </c>
      <c r="J387" s="3"/>
      <c r="K387" s="3">
        <v>23.722657999999999</v>
      </c>
      <c r="L387" s="3">
        <v>2005</v>
      </c>
      <c r="M387" s="3">
        <v>0.318388</v>
      </c>
      <c r="N387" s="3" t="s">
        <v>21</v>
      </c>
    </row>
    <row r="388" spans="1:14" x14ac:dyDescent="0.3">
      <c r="A388" s="3">
        <v>26.444029</v>
      </c>
      <c r="B388" s="3">
        <v>2006</v>
      </c>
      <c r="C388" s="3">
        <v>0.28544807</v>
      </c>
      <c r="D388" s="3" t="s">
        <v>21</v>
      </c>
      <c r="E388" s="3"/>
      <c r="F388" s="3">
        <v>29.399156999999999</v>
      </c>
      <c r="G388" s="3">
        <v>2006</v>
      </c>
      <c r="H388" s="3">
        <v>0.48626518000000002</v>
      </c>
      <c r="I388" s="3" t="s">
        <v>21</v>
      </c>
      <c r="J388" s="3"/>
      <c r="K388" s="3">
        <v>23.488900999999998</v>
      </c>
      <c r="L388" s="3">
        <v>2006</v>
      </c>
      <c r="M388" s="3">
        <v>8.4630966000000002E-2</v>
      </c>
      <c r="N388" s="3" t="s">
        <v>21</v>
      </c>
    </row>
    <row r="389" spans="1:14" x14ac:dyDescent="0.3">
      <c r="A389" s="3">
        <v>26.131150000000002</v>
      </c>
      <c r="B389" s="3">
        <v>2007</v>
      </c>
      <c r="C389" s="3">
        <v>-2.7431488E-2</v>
      </c>
      <c r="D389" s="3" t="s">
        <v>21</v>
      </c>
      <c r="E389" s="3"/>
      <c r="F389" s="3">
        <v>28.930246</v>
      </c>
      <c r="G389" s="3">
        <v>2007</v>
      </c>
      <c r="H389" s="3">
        <v>1.7354965E-2</v>
      </c>
      <c r="I389" s="3" t="s">
        <v>21</v>
      </c>
      <c r="J389" s="3"/>
      <c r="K389" s="3">
        <v>23.332049999999999</v>
      </c>
      <c r="L389" s="3">
        <v>2007</v>
      </c>
      <c r="M389" s="3">
        <v>-7.2219850000000002E-2</v>
      </c>
      <c r="N389" s="3" t="s">
        <v>21</v>
      </c>
    </row>
    <row r="390" spans="1:14" x14ac:dyDescent="0.3">
      <c r="A390" s="3">
        <v>26.297628</v>
      </c>
      <c r="B390" s="3">
        <v>2008</v>
      </c>
      <c r="C390" s="3">
        <v>0.13904762000000001</v>
      </c>
      <c r="D390" s="3" t="s">
        <v>21</v>
      </c>
      <c r="E390" s="3"/>
      <c r="F390" s="3">
        <v>28.973206999999999</v>
      </c>
      <c r="G390" s="3">
        <v>2008</v>
      </c>
      <c r="H390" s="3">
        <v>6.0316085999999998E-2</v>
      </c>
      <c r="I390" s="3" t="s">
        <v>21</v>
      </c>
      <c r="J390" s="3"/>
      <c r="K390" s="3">
        <v>23.622050999999999</v>
      </c>
      <c r="L390" s="3">
        <v>2008</v>
      </c>
      <c r="M390" s="3">
        <v>0.21778106999999999</v>
      </c>
      <c r="N390" s="3" t="s">
        <v>21</v>
      </c>
    </row>
    <row r="391" spans="1:14" x14ac:dyDescent="0.3">
      <c r="A391" s="3">
        <v>26.961134000000001</v>
      </c>
      <c r="B391" s="3">
        <v>2009</v>
      </c>
      <c r="C391" s="3">
        <v>0.80255319999999997</v>
      </c>
      <c r="D391" s="3" t="s">
        <v>21</v>
      </c>
      <c r="E391" s="3"/>
      <c r="F391" s="3">
        <v>29.906922999999999</v>
      </c>
      <c r="G391" s="3">
        <v>2009</v>
      </c>
      <c r="H391" s="3">
        <v>0.99403189999999997</v>
      </c>
      <c r="I391" s="3" t="s">
        <v>21</v>
      </c>
      <c r="J391" s="3"/>
      <c r="K391" s="3">
        <v>24.015343000000001</v>
      </c>
      <c r="L391" s="3">
        <v>2009</v>
      </c>
      <c r="M391" s="3">
        <v>0.61107254</v>
      </c>
      <c r="N391" s="3" t="s">
        <v>21</v>
      </c>
    </row>
    <row r="392" spans="1:14" x14ac:dyDescent="0.3">
      <c r="A392" s="3">
        <v>26.101074000000001</v>
      </c>
      <c r="B392" s="3">
        <v>2010</v>
      </c>
      <c r="C392" s="3">
        <v>-5.7506559999999998E-2</v>
      </c>
      <c r="D392" s="3" t="s">
        <v>21</v>
      </c>
      <c r="E392" s="3"/>
      <c r="F392" s="3">
        <v>28.545466999999999</v>
      </c>
      <c r="G392" s="3">
        <v>2010</v>
      </c>
      <c r="H392" s="3">
        <v>-0.36742399999999997</v>
      </c>
      <c r="I392" s="3" t="s">
        <v>21</v>
      </c>
      <c r="J392" s="3"/>
      <c r="K392" s="3">
        <v>23.656675</v>
      </c>
      <c r="L392" s="3">
        <v>2010</v>
      </c>
      <c r="M392" s="3">
        <v>0.25240517000000001</v>
      </c>
      <c r="N392" s="3" t="s">
        <v>21</v>
      </c>
    </row>
    <row r="393" spans="1:14" x14ac:dyDescent="0.3">
      <c r="A393" s="3">
        <v>26.357277</v>
      </c>
      <c r="B393" s="3">
        <v>2011</v>
      </c>
      <c r="C393" s="3">
        <v>0.19869613999999999</v>
      </c>
      <c r="D393" s="3" t="s">
        <v>21</v>
      </c>
      <c r="E393" s="3"/>
      <c r="F393" s="3">
        <v>29.160944000000001</v>
      </c>
      <c r="G393" s="3">
        <v>2011</v>
      </c>
      <c r="H393" s="3">
        <v>0.24805260000000001</v>
      </c>
      <c r="I393" s="3" t="s">
        <v>21</v>
      </c>
      <c r="J393" s="3"/>
      <c r="K393" s="3">
        <v>23.553609999999999</v>
      </c>
      <c r="L393" s="3">
        <v>2011</v>
      </c>
      <c r="M393" s="3">
        <v>0.14933968</v>
      </c>
      <c r="N393" s="3" t="s">
        <v>21</v>
      </c>
    </row>
    <row r="394" spans="1:14" x14ac:dyDescent="0.3">
      <c r="A394" s="3">
        <v>26.450330000000001</v>
      </c>
      <c r="B394" s="3">
        <v>2012</v>
      </c>
      <c r="C394" s="3">
        <v>0.29174994999999998</v>
      </c>
      <c r="D394" s="3" t="s">
        <v>21</v>
      </c>
      <c r="E394" s="3"/>
      <c r="F394" s="3">
        <v>29.366378999999998</v>
      </c>
      <c r="G394" s="3">
        <v>2012</v>
      </c>
      <c r="H394" s="3">
        <v>0.45348739999999998</v>
      </c>
      <c r="I394" s="3" t="s">
        <v>21</v>
      </c>
      <c r="J394" s="3"/>
      <c r="K394" s="3">
        <v>23.534286000000002</v>
      </c>
      <c r="L394" s="3">
        <v>2012</v>
      </c>
      <c r="M394" s="3">
        <v>0.13001633000000001</v>
      </c>
      <c r="N394" s="3" t="s">
        <v>21</v>
      </c>
    </row>
    <row r="395" spans="1:14" x14ac:dyDescent="0.3">
      <c r="A395" s="3">
        <v>26.390024</v>
      </c>
      <c r="B395" s="3">
        <v>2013</v>
      </c>
      <c r="C395" s="3">
        <v>0.23144339999999999</v>
      </c>
      <c r="D395" s="3" t="s">
        <v>21</v>
      </c>
      <c r="E395" s="3"/>
      <c r="F395" s="3">
        <v>29.081232</v>
      </c>
      <c r="G395" s="3">
        <v>2013</v>
      </c>
      <c r="H395" s="3">
        <v>0.16834067999999999</v>
      </c>
      <c r="I395" s="3" t="s">
        <v>21</v>
      </c>
      <c r="J395" s="3"/>
      <c r="K395" s="3">
        <v>23.698813999999999</v>
      </c>
      <c r="L395" s="3">
        <v>2013</v>
      </c>
      <c r="M395" s="3">
        <v>0.29454422000000002</v>
      </c>
      <c r="N395" s="3" t="s">
        <v>21</v>
      </c>
    </row>
    <row r="396" spans="1:14" x14ac:dyDescent="0.3">
      <c r="A396" s="3">
        <v>26.432697000000001</v>
      </c>
      <c r="B396" s="3">
        <v>2014</v>
      </c>
      <c r="C396" s="3">
        <v>0.27411651999999997</v>
      </c>
      <c r="D396" s="3" t="s">
        <v>21</v>
      </c>
      <c r="E396" s="3"/>
      <c r="F396" s="3">
        <v>29.294104000000001</v>
      </c>
      <c r="G396" s="3">
        <v>2014</v>
      </c>
      <c r="H396" s="3">
        <v>0.38121222999999999</v>
      </c>
      <c r="I396" s="3" t="s">
        <v>21</v>
      </c>
      <c r="J396" s="3"/>
      <c r="K396" s="3">
        <v>23.571293000000001</v>
      </c>
      <c r="L396" s="3">
        <v>2014</v>
      </c>
      <c r="M396" s="3">
        <v>0.1670227</v>
      </c>
      <c r="N396" s="3" t="s">
        <v>21</v>
      </c>
    </row>
    <row r="397" spans="1:14" x14ac:dyDescent="0.3">
      <c r="A397" s="3">
        <v>27.076294000000001</v>
      </c>
      <c r="B397" s="3">
        <v>2015</v>
      </c>
      <c r="C397" s="3">
        <v>0.91771316999999997</v>
      </c>
      <c r="D397" s="3" t="s">
        <v>21</v>
      </c>
      <c r="E397" s="3"/>
      <c r="F397" s="3">
        <v>30.003471000000001</v>
      </c>
      <c r="G397" s="3">
        <v>2015</v>
      </c>
      <c r="H397" s="3">
        <v>1.0905800000000001</v>
      </c>
      <c r="I397" s="3" t="s">
        <v>21</v>
      </c>
      <c r="J397" s="3"/>
      <c r="K397" s="3">
        <v>24.149117</v>
      </c>
      <c r="L397" s="3">
        <v>2015</v>
      </c>
      <c r="M397" s="3">
        <v>0.74484634000000005</v>
      </c>
      <c r="N397" s="3" t="s">
        <v>21</v>
      </c>
    </row>
    <row r="398" spans="1:14" x14ac:dyDescent="0.3">
      <c r="A398" s="3">
        <v>26.517175999999999</v>
      </c>
      <c r="B398" s="3">
        <v>2016</v>
      </c>
      <c r="C398" s="3">
        <v>0.35859489999999999</v>
      </c>
      <c r="D398" s="3" t="s">
        <v>21</v>
      </c>
      <c r="E398" s="3"/>
      <c r="F398" s="3">
        <v>29.257238000000001</v>
      </c>
      <c r="G398" s="3">
        <v>2016</v>
      </c>
      <c r="H398" s="3">
        <v>0.34434700000000001</v>
      </c>
      <c r="I398" s="3" t="s">
        <v>21</v>
      </c>
      <c r="J398" s="3"/>
      <c r="K398" s="3">
        <v>23.777114999999998</v>
      </c>
      <c r="L398" s="3">
        <v>2016</v>
      </c>
      <c r="M398" s="3">
        <v>0.37284469999999997</v>
      </c>
      <c r="N398" s="3" t="s">
        <v>21</v>
      </c>
    </row>
    <row r="399" spans="1:14" x14ac:dyDescent="0.3">
      <c r="A399" s="3">
        <v>26.704339999999998</v>
      </c>
      <c r="B399" s="3">
        <v>2017</v>
      </c>
      <c r="C399" s="3">
        <v>0.5457592</v>
      </c>
      <c r="D399" s="3" t="s">
        <v>21</v>
      </c>
      <c r="E399" s="3"/>
      <c r="F399" s="3">
        <v>29.399054</v>
      </c>
      <c r="G399" s="3">
        <v>2017</v>
      </c>
      <c r="H399" s="3">
        <v>0.48616219999999999</v>
      </c>
      <c r="I399" s="3" t="s">
        <v>21</v>
      </c>
      <c r="J399" s="3"/>
      <c r="K399" s="3">
        <v>24.009623000000001</v>
      </c>
      <c r="L399" s="3">
        <v>2017</v>
      </c>
      <c r="M399" s="3">
        <v>0.60535240000000001</v>
      </c>
      <c r="N399" s="3" t="s">
        <v>21</v>
      </c>
    </row>
    <row r="400" spans="1:14" x14ac:dyDescent="0.3">
      <c r="A400" s="3">
        <v>26.302309000000001</v>
      </c>
      <c r="B400" s="3">
        <v>2018</v>
      </c>
      <c r="C400" s="3">
        <v>0.14372826</v>
      </c>
      <c r="D400" s="3" t="s">
        <v>21</v>
      </c>
      <c r="E400" s="3"/>
      <c r="F400" s="3">
        <v>29.027785999999999</v>
      </c>
      <c r="G400" s="3">
        <v>2018</v>
      </c>
      <c r="H400" s="3">
        <v>0.11489487</v>
      </c>
      <c r="I400" s="3" t="s">
        <v>21</v>
      </c>
      <c r="J400" s="3"/>
      <c r="K400" s="3">
        <v>23.576836</v>
      </c>
      <c r="L400" s="3">
        <v>2018</v>
      </c>
      <c r="M400" s="3">
        <v>0.17256546</v>
      </c>
      <c r="N400" s="3" t="s">
        <v>21</v>
      </c>
    </row>
    <row r="401" spans="1:14" x14ac:dyDescent="0.3">
      <c r="A401" s="3">
        <v>26.560676999999998</v>
      </c>
      <c r="B401" s="3">
        <v>2019</v>
      </c>
      <c r="C401" s="3">
        <v>0.4020958</v>
      </c>
      <c r="D401" s="3" t="s">
        <v>21</v>
      </c>
      <c r="E401" s="3"/>
      <c r="F401" s="3">
        <v>29.141408999999999</v>
      </c>
      <c r="G401" s="3">
        <v>2019</v>
      </c>
      <c r="H401" s="3">
        <v>0.22851753</v>
      </c>
      <c r="I401" s="3" t="s">
        <v>21</v>
      </c>
      <c r="J401" s="3"/>
      <c r="K401" s="3">
        <v>23.979939999999999</v>
      </c>
      <c r="L401" s="3">
        <v>2019</v>
      </c>
      <c r="M401" s="3">
        <v>0.57567024</v>
      </c>
      <c r="N401" s="3" t="s">
        <v>21</v>
      </c>
    </row>
    <row r="402" spans="1:14" x14ac:dyDescent="0.3">
      <c r="A402" s="3">
        <v>26.336646999999999</v>
      </c>
      <c r="B402" s="3">
        <v>2020</v>
      </c>
      <c r="C402" s="3">
        <v>0.17806625000000001</v>
      </c>
      <c r="D402" s="3" t="s">
        <v>21</v>
      </c>
      <c r="E402" s="3"/>
      <c r="F402" s="3">
        <v>29.114187000000001</v>
      </c>
      <c r="G402" s="3">
        <v>2020</v>
      </c>
      <c r="H402" s="3">
        <v>0.20129585</v>
      </c>
      <c r="I402" s="3" t="s">
        <v>21</v>
      </c>
      <c r="J402" s="3"/>
      <c r="K402" s="3">
        <v>23.559107000000001</v>
      </c>
      <c r="L402" s="3">
        <v>2020</v>
      </c>
      <c r="M402" s="3">
        <v>0.15483664999999999</v>
      </c>
      <c r="N402" s="3" t="s">
        <v>21</v>
      </c>
    </row>
    <row r="403" spans="1:14" x14ac:dyDescent="0.3">
      <c r="A403" s="3">
        <v>26.213083000000001</v>
      </c>
      <c r="B403" s="3">
        <v>2021</v>
      </c>
      <c r="C403" s="3">
        <v>5.4502487000000002E-2</v>
      </c>
      <c r="D403" s="3" t="s">
        <v>21</v>
      </c>
      <c r="E403" s="3"/>
      <c r="F403" s="3">
        <v>28.926279999999998</v>
      </c>
      <c r="G403" s="3">
        <v>2021</v>
      </c>
      <c r="H403" s="3">
        <v>1.3387680000000001E-2</v>
      </c>
      <c r="I403" s="3" t="s">
        <v>21</v>
      </c>
      <c r="J403" s="3"/>
      <c r="K403" s="3">
        <v>23.499886</v>
      </c>
      <c r="L403" s="3">
        <v>2021</v>
      </c>
      <c r="M403" s="3">
        <v>9.5615389999999995E-2</v>
      </c>
      <c r="N403" s="3" t="s">
        <v>21</v>
      </c>
    </row>
    <row r="404" spans="1:14" x14ac:dyDescent="0.3">
      <c r="A404" s="3">
        <v>26.252503999999998</v>
      </c>
      <c r="B404" s="3">
        <v>2022</v>
      </c>
      <c r="C404" s="3">
        <v>9.3923569999999998E-2</v>
      </c>
      <c r="D404" s="3" t="s">
        <v>21</v>
      </c>
      <c r="E404" s="3"/>
      <c r="F404" s="3">
        <v>28.989408000000001</v>
      </c>
      <c r="G404" s="3">
        <v>2022</v>
      </c>
      <c r="H404" s="3">
        <v>7.6517105000000002E-2</v>
      </c>
      <c r="I404" s="3" t="s">
        <v>21</v>
      </c>
      <c r="J404" s="3"/>
      <c r="K404" s="3">
        <v>23.515602000000001</v>
      </c>
      <c r="L404" s="3">
        <v>2022</v>
      </c>
      <c r="M404" s="3">
        <v>0.11133194</v>
      </c>
      <c r="N404" s="3" t="s">
        <v>21</v>
      </c>
    </row>
    <row r="405" spans="1:14" x14ac:dyDescent="0.3">
      <c r="A405" s="3">
        <v>27.262999000000001</v>
      </c>
      <c r="B405" s="3">
        <v>2023</v>
      </c>
      <c r="C405" s="3">
        <v>1.1044178</v>
      </c>
      <c r="D405" s="3" t="s">
        <v>21</v>
      </c>
      <c r="E405" s="3"/>
      <c r="F405" s="3">
        <v>30.196268</v>
      </c>
      <c r="G405" s="3">
        <v>2023</v>
      </c>
      <c r="H405" s="3">
        <v>1.2833767</v>
      </c>
      <c r="I405" s="3" t="s">
        <v>21</v>
      </c>
      <c r="J405" s="3"/>
      <c r="K405" s="3">
        <v>24.329730000000001</v>
      </c>
      <c r="L405" s="3">
        <v>2023</v>
      </c>
      <c r="M405" s="3">
        <v>0.92545889999999997</v>
      </c>
      <c r="N405" s="3" t="s">
        <v>21</v>
      </c>
    </row>
    <row r="406" spans="1:14" x14ac:dyDescent="0.3">
      <c r="A406" s="3">
        <v>26.907693999999999</v>
      </c>
      <c r="B406" s="3">
        <v>2024</v>
      </c>
      <c r="C406" s="3">
        <v>0.74911309999999998</v>
      </c>
      <c r="D406" s="3" t="s">
        <v>21</v>
      </c>
      <c r="E406" s="3"/>
      <c r="F406" s="3">
        <v>29.519400000000001</v>
      </c>
      <c r="G406" s="3">
        <v>2024</v>
      </c>
      <c r="H406" s="3">
        <v>0.60650826000000002</v>
      </c>
      <c r="I406" s="3" t="s">
        <v>21</v>
      </c>
      <c r="J406" s="3"/>
      <c r="K406" s="3">
        <v>24.295985999999999</v>
      </c>
      <c r="L406" s="3">
        <v>2024</v>
      </c>
      <c r="M406" s="3">
        <v>0.89171599999999995</v>
      </c>
      <c r="N406" s="3" t="s">
        <v>21</v>
      </c>
    </row>
    <row r="407" spans="1:14" x14ac:dyDescent="0.3">
      <c r="A407" s="3">
        <v>26.151008999999998</v>
      </c>
      <c r="B407" s="3">
        <v>2025</v>
      </c>
      <c r="C407" s="3">
        <v>-7.5721740000000001E-3</v>
      </c>
      <c r="D407" s="3" t="s">
        <v>21</v>
      </c>
      <c r="E407" s="3"/>
      <c r="F407" s="3">
        <v>28.455708000000001</v>
      </c>
      <c r="G407" s="3">
        <v>2025</v>
      </c>
      <c r="H407" s="3">
        <v>-0.45718384000000001</v>
      </c>
      <c r="I407" s="3" t="s">
        <v>21</v>
      </c>
      <c r="J407" s="3"/>
      <c r="K407" s="3">
        <v>23.846315000000001</v>
      </c>
      <c r="L407" s="3">
        <v>2025</v>
      </c>
      <c r="M407" s="3">
        <v>0.44204520000000003</v>
      </c>
      <c r="N407" s="3" t="s">
        <v>21</v>
      </c>
    </row>
  </sheetData>
  <mergeCells count="3">
    <mergeCell ref="A1:D1"/>
    <mergeCell ref="F1:I1"/>
    <mergeCell ref="K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2025</vt:lpstr>
      <vt:lpstr>Normal_climatica</vt:lpstr>
      <vt:lpstr>Pentadas_Pais</vt:lpstr>
      <vt:lpstr>Anomalia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L Ortega Melendez</dc:creator>
  <cp:lastModifiedBy>Jaime L Ortega Melendez</cp:lastModifiedBy>
  <dcterms:created xsi:type="dcterms:W3CDTF">2015-06-05T18:17:20Z</dcterms:created>
  <dcterms:modified xsi:type="dcterms:W3CDTF">2025-11-11T03:03:50Z</dcterms:modified>
</cp:coreProperties>
</file>